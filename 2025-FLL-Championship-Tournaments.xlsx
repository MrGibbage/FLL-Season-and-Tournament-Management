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github-projects\FLL-Season-and-Tournament-Management\"/>
    </mc:Choice>
  </mc:AlternateContent>
  <xr:revisionPtr revIDLastSave="0" documentId="13_ncr:1_{C5807945-3897-48EC-AE36-CF8D662D613D}" xr6:coauthVersionLast="47" xr6:coauthVersionMax="47" xr10:uidLastSave="{00000000-0000-0000-0000-000000000000}"/>
  <bookViews>
    <workbookView xWindow="-120" yWindow="-120" windowWidth="38640" windowHeight="21120" activeTab="2" xr2:uid="{0852510A-0402-494B-87EA-4B91755641F1}"/>
  </bookViews>
  <sheets>
    <sheet name="Summary" sheetId="9" r:id="rId1"/>
    <sheet name="Tournaments" sheetId="7" r:id="rId2"/>
    <sheet name="DivTournaments" sheetId="11" r:id="rId3"/>
    <sheet name="Assignments" sheetId="8" r:id="rId4"/>
    <sheet name="SeasonInfo" sheetId="12" r:id="rId5"/>
    <sheet name="AwardDef" sheetId="1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7" i="9" l="1"/>
  <c r="T4" i="9"/>
  <c r="T3" i="9"/>
  <c r="S17" i="9"/>
  <c r="S4" i="9"/>
  <c r="S3" i="9"/>
  <c r="R17" i="9"/>
  <c r="R4" i="9"/>
  <c r="R3" i="9"/>
  <c r="T5" i="9"/>
  <c r="S5" i="9"/>
  <c r="R5" i="9"/>
  <c r="D5" i="9"/>
  <c r="U17" i="9"/>
  <c r="U4" i="9"/>
  <c r="U3" i="9"/>
  <c r="U5" i="9"/>
  <c r="B5" i="9"/>
  <c r="C5" i="9"/>
  <c r="E5" i="9"/>
  <c r="F5" i="9"/>
  <c r="G5" i="9"/>
  <c r="H5" i="9"/>
  <c r="I5" i="9"/>
  <c r="J5" i="9"/>
  <c r="K5" i="9"/>
  <c r="L5" i="9"/>
  <c r="M5" i="9"/>
  <c r="N5" i="9"/>
  <c r="O5" i="9"/>
  <c r="P5" i="9"/>
  <c r="Q5" i="9"/>
  <c r="C10" i="9" l="1" a="1"/>
  <c r="C10" i="9" s="1"/>
  <c r="Q7" i="9" a="1"/>
  <c r="Q7" i="9" s="1"/>
  <c r="P8" i="9" a="1"/>
  <c r="P8" i="9" s="1"/>
  <c r="G8" i="9" a="1"/>
  <c r="G8" i="9" s="1"/>
  <c r="O9" i="9" a="1"/>
  <c r="O9" i="9" s="1"/>
  <c r="E9" i="9" a="1"/>
  <c r="E9" i="9" s="1"/>
  <c r="M10" i="9" a="1"/>
  <c r="M10" i="9" s="1"/>
  <c r="P7" i="9" a="1"/>
  <c r="P7" i="9" s="1"/>
  <c r="G7" i="9" a="1"/>
  <c r="G7" i="9" s="1"/>
  <c r="O8" i="9" a="1"/>
  <c r="O8" i="9" s="1"/>
  <c r="F8" i="9" a="1"/>
  <c r="F8" i="9" s="1"/>
  <c r="D9" i="9" a="1"/>
  <c r="D9" i="9" s="1"/>
  <c r="L10" i="9" a="1"/>
  <c r="L10" i="9" s="1"/>
  <c r="O7" i="9" a="1"/>
  <c r="O7" i="9" s="1"/>
  <c r="F7" i="9" a="1"/>
  <c r="F7" i="9" s="1"/>
  <c r="N8" i="9" a="1"/>
  <c r="N8" i="9" s="1"/>
  <c r="E8" i="9" a="1"/>
  <c r="E8" i="9" s="1"/>
  <c r="N9" i="9" a="1"/>
  <c r="N9" i="9" s="1"/>
  <c r="C9" i="9" a="1"/>
  <c r="C9" i="9" s="1"/>
  <c r="K10" i="9" a="1"/>
  <c r="K10" i="9" s="1"/>
  <c r="E7" i="9" a="1"/>
  <c r="E7" i="9" s="1"/>
  <c r="D8" i="9" a="1"/>
  <c r="D8" i="9" s="1"/>
  <c r="M9" i="9" a="1"/>
  <c r="M9" i="9" s="1"/>
  <c r="B10" i="9" a="1"/>
  <c r="B10" i="9" s="1"/>
  <c r="J10" i="9" a="1"/>
  <c r="J10" i="9" s="1"/>
  <c r="N7" i="9" a="1"/>
  <c r="N7" i="9" s="1"/>
  <c r="D7" i="9" a="1"/>
  <c r="D7" i="9" s="1"/>
  <c r="M8" i="9" a="1"/>
  <c r="M8" i="9" s="1"/>
  <c r="C8" i="9" a="1"/>
  <c r="C8" i="9" s="1"/>
  <c r="L9" i="9" a="1"/>
  <c r="L9" i="9" s="1"/>
  <c r="U10" i="9" a="1"/>
  <c r="U10" i="9" s="1"/>
  <c r="I10" i="9" a="1"/>
  <c r="I10" i="9" s="1"/>
  <c r="M7" i="9" a="1"/>
  <c r="M7" i="9" s="1"/>
  <c r="C7" i="9" a="1"/>
  <c r="C7" i="9" s="1"/>
  <c r="L8" i="9" a="1"/>
  <c r="L8" i="9" s="1"/>
  <c r="B9" i="9" a="1"/>
  <c r="B9" i="9" s="1"/>
  <c r="K9" i="9" a="1"/>
  <c r="K9" i="9" s="1"/>
  <c r="T10" i="9" a="1"/>
  <c r="T10" i="9" s="1"/>
  <c r="B7" i="9" a="1"/>
  <c r="B7" i="9" s="1"/>
  <c r="L7" i="9" a="1"/>
  <c r="L7" i="9" s="1"/>
  <c r="B8" i="9" a="1"/>
  <c r="B8" i="9" s="1"/>
  <c r="K8" i="9" a="1"/>
  <c r="K8" i="9" s="1"/>
  <c r="U9" i="9" a="1"/>
  <c r="U9" i="9" s="1"/>
  <c r="J9" i="9" a="1"/>
  <c r="J9" i="9" s="1"/>
  <c r="S10" i="9" a="1"/>
  <c r="S10" i="9" s="1"/>
  <c r="H10" i="9" a="1"/>
  <c r="H10" i="9" s="1"/>
  <c r="U7" i="9" a="1"/>
  <c r="U7" i="9" s="1"/>
  <c r="U15" i="9" s="1"/>
  <c r="K7" i="9" a="1"/>
  <c r="K7" i="9" s="1"/>
  <c r="U8" i="9" a="1"/>
  <c r="U8" i="9" s="1"/>
  <c r="U16" i="9" s="1"/>
  <c r="J8" i="9" a="1"/>
  <c r="J8" i="9" s="1"/>
  <c r="T9" i="9" a="1"/>
  <c r="T9" i="9" s="1"/>
  <c r="I9" i="9" a="1"/>
  <c r="I9" i="9" s="1"/>
  <c r="R10" i="9" a="1"/>
  <c r="R10" i="9" s="1"/>
  <c r="G10" i="9" a="1"/>
  <c r="G10" i="9" s="1"/>
  <c r="T7" i="9" a="1"/>
  <c r="T7" i="9" s="1"/>
  <c r="T15" i="9" s="1"/>
  <c r="J7" i="9" a="1"/>
  <c r="J7" i="9" s="1"/>
  <c r="T8" i="9" a="1"/>
  <c r="T8" i="9" s="1"/>
  <c r="T16" i="9" s="1"/>
  <c r="I8" i="9" a="1"/>
  <c r="I8" i="9" s="1"/>
  <c r="S9" i="9" a="1"/>
  <c r="S9" i="9" s="1"/>
  <c r="Q10" i="9" a="1"/>
  <c r="Q10" i="9" s="1"/>
  <c r="F10" i="9" a="1"/>
  <c r="F10" i="9" s="1"/>
  <c r="I7" i="9" a="1"/>
  <c r="I7" i="9" s="1"/>
  <c r="S8" i="9" a="1"/>
  <c r="S8" i="9" s="1"/>
  <c r="S16" i="9" s="1"/>
  <c r="R9" i="9" a="1"/>
  <c r="R9" i="9" s="1"/>
  <c r="H9" i="9" a="1"/>
  <c r="H9" i="9" s="1"/>
  <c r="P10" i="9" a="1"/>
  <c r="P10" i="9" s="1"/>
  <c r="E10" i="9" a="1"/>
  <c r="E10" i="9" s="1"/>
  <c r="S7" i="9" a="1"/>
  <c r="S7" i="9" s="1"/>
  <c r="S15" i="9" s="1"/>
  <c r="R8" i="9" a="1"/>
  <c r="R8" i="9" s="1"/>
  <c r="H8" i="9" a="1"/>
  <c r="H8" i="9" s="1"/>
  <c r="Q9" i="9" a="1"/>
  <c r="Q9" i="9" s="1"/>
  <c r="G9" i="9" a="1"/>
  <c r="G9" i="9" s="1"/>
  <c r="O10" i="9" a="1"/>
  <c r="O10" i="9" s="1"/>
  <c r="D10" i="9" a="1"/>
  <c r="D10" i="9" s="1"/>
  <c r="R7" i="9" a="1"/>
  <c r="R7" i="9" s="1"/>
  <c r="R15" i="9" s="1"/>
  <c r="H7" i="9" a="1"/>
  <c r="H7" i="9" s="1"/>
  <c r="Q8" i="9" a="1"/>
  <c r="Q8" i="9" s="1"/>
  <c r="P9" i="9" a="1"/>
  <c r="P9" i="9" s="1"/>
  <c r="F9" i="9" a="1"/>
  <c r="F9" i="9" s="1"/>
  <c r="N10" i="9" a="1"/>
  <c r="N10" i="9" s="1"/>
  <c r="R2" i="9"/>
  <c r="T2" i="9"/>
  <c r="S2" i="9"/>
  <c r="U2" i="9"/>
  <c r="Q4" i="9"/>
  <c r="P4" i="9"/>
  <c r="O4" i="9"/>
  <c r="N4" i="9"/>
  <c r="M4" i="9"/>
  <c r="L4" i="9"/>
  <c r="K4" i="9"/>
  <c r="J4" i="9"/>
  <c r="I4" i="9"/>
  <c r="H4" i="9"/>
  <c r="G4" i="9"/>
  <c r="F4" i="9"/>
  <c r="E4" i="9"/>
  <c r="D4" i="9"/>
  <c r="C4" i="9"/>
  <c r="Q3" i="9"/>
  <c r="P3" i="9"/>
  <c r="O3" i="9"/>
  <c r="N3" i="9"/>
  <c r="M3" i="9"/>
  <c r="L3" i="9"/>
  <c r="K3" i="9"/>
  <c r="J3" i="9"/>
  <c r="I3" i="9"/>
  <c r="H3" i="9"/>
  <c r="G3" i="9"/>
  <c r="F3" i="9"/>
  <c r="E3" i="9"/>
  <c r="D3" i="9"/>
  <c r="C3" i="9"/>
  <c r="B4" i="9"/>
  <c r="B3" i="9"/>
  <c r="Q17" i="9"/>
  <c r="P17" i="9"/>
  <c r="O17" i="9"/>
  <c r="N17" i="9"/>
  <c r="M17" i="9"/>
  <c r="L17" i="9"/>
  <c r="K17" i="9"/>
  <c r="J17" i="9"/>
  <c r="I17" i="9"/>
  <c r="H17" i="9"/>
  <c r="G17" i="9"/>
  <c r="F17" i="9"/>
  <c r="E17" i="9"/>
  <c r="D17" i="9"/>
  <c r="C17" i="9"/>
  <c r="B17" i="9"/>
  <c r="N16" i="9" l="1"/>
  <c r="Q11" i="9"/>
  <c r="E11" i="9"/>
  <c r="C11" i="9"/>
  <c r="O11" i="9"/>
  <c r="G16" i="9"/>
  <c r="L12" i="9"/>
  <c r="M11" i="9"/>
  <c r="N12" i="9"/>
  <c r="F11" i="9"/>
  <c r="B16" i="9"/>
  <c r="G12" i="9"/>
  <c r="S11" i="9"/>
  <c r="I12" i="9"/>
  <c r="E12" i="9"/>
  <c r="E13" i="9" s="1"/>
  <c r="C12" i="9"/>
  <c r="J12" i="9"/>
  <c r="M12" i="9"/>
  <c r="P11" i="9"/>
  <c r="K12" i="9"/>
  <c r="J11" i="9"/>
  <c r="L11" i="9"/>
  <c r="L13" i="9" s="1"/>
  <c r="L15" i="9"/>
  <c r="M15" i="9"/>
  <c r="G11" i="9"/>
  <c r="H12" i="9"/>
  <c r="T11" i="9"/>
  <c r="I11" i="9"/>
  <c r="K16" i="9"/>
  <c r="K11" i="9"/>
  <c r="R12" i="9"/>
  <c r="R16" i="9"/>
  <c r="B11" i="9"/>
  <c r="T14" i="9"/>
  <c r="R11" i="9"/>
  <c r="H15" i="9"/>
  <c r="T12" i="9"/>
  <c r="D12" i="9"/>
  <c r="D11" i="9"/>
  <c r="R14" i="9"/>
  <c r="F16" i="9"/>
  <c r="U14" i="9"/>
  <c r="S12" i="9"/>
  <c r="H11" i="9"/>
  <c r="O12" i="9"/>
  <c r="O13" i="9" s="1"/>
  <c r="F12" i="9"/>
  <c r="S14" i="9"/>
  <c r="B12" i="9"/>
  <c r="Q12" i="9"/>
  <c r="H16" i="9"/>
  <c r="U11" i="9"/>
  <c r="U12" i="9"/>
  <c r="E16" i="9"/>
  <c r="F15" i="9"/>
  <c r="N15" i="9"/>
  <c r="P16" i="9"/>
  <c r="C16" i="9"/>
  <c r="O16" i="9"/>
  <c r="I16" i="9"/>
  <c r="N11" i="9"/>
  <c r="N13" i="9" s="1"/>
  <c r="Q15" i="9"/>
  <c r="J16" i="9"/>
  <c r="C15" i="9"/>
  <c r="O15" i="9"/>
  <c r="L16" i="9"/>
  <c r="I15" i="9"/>
  <c r="M16" i="9"/>
  <c r="D15" i="9"/>
  <c r="E15" i="9"/>
  <c r="P12" i="9"/>
  <c r="Q16" i="9"/>
  <c r="J15" i="9"/>
  <c r="K15" i="9"/>
  <c r="G15" i="9"/>
  <c r="P15" i="9"/>
  <c r="D16" i="9"/>
  <c r="B15" i="9"/>
  <c r="K2" i="9"/>
  <c r="K14" i="9" s="1"/>
  <c r="P2" i="9"/>
  <c r="P14" i="9" s="1"/>
  <c r="M2" i="9"/>
  <c r="M14" i="9" s="1"/>
  <c r="L2" i="9"/>
  <c r="L14" i="9" s="1"/>
  <c r="N2" i="9"/>
  <c r="N14" i="9" s="1"/>
  <c r="O2" i="9"/>
  <c r="O14" i="9" s="1"/>
  <c r="D2" i="9"/>
  <c r="D14" i="9" s="1"/>
  <c r="E2" i="9"/>
  <c r="E14" i="9" s="1"/>
  <c r="Q2" i="9"/>
  <c r="Q14" i="9" s="1"/>
  <c r="F2" i="9"/>
  <c r="F14" i="9" s="1"/>
  <c r="G2" i="9"/>
  <c r="G14" i="9" s="1"/>
  <c r="I2" i="9"/>
  <c r="I14" i="9" s="1"/>
  <c r="J2" i="9"/>
  <c r="J14" i="9" s="1"/>
  <c r="H2" i="9"/>
  <c r="H14" i="9" s="1"/>
  <c r="C2" i="9"/>
  <c r="C14" i="9" s="1"/>
  <c r="B2" i="9"/>
  <c r="B14" i="9" s="1"/>
  <c r="C13" i="9" l="1"/>
  <c r="Q13" i="9"/>
  <c r="G13" i="9"/>
  <c r="F13" i="9"/>
  <c r="I13" i="9"/>
  <c r="J13" i="9"/>
  <c r="S13" i="9"/>
  <c r="M13" i="9"/>
  <c r="P13" i="9"/>
  <c r="K13" i="9"/>
  <c r="H13" i="9"/>
  <c r="R13" i="9"/>
  <c r="T13" i="9"/>
  <c r="B13" i="9"/>
  <c r="D13" i="9"/>
  <c r="U1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<sst xmlns="http://schemas.openxmlformats.org/spreadsheetml/2006/main" count="664" uniqueCount="395">
  <si>
    <t>Ribbons</t>
  </si>
  <si>
    <t>Martinsville</t>
  </si>
  <si>
    <t>Norfolk</t>
  </si>
  <si>
    <t>Blacksburg</t>
  </si>
  <si>
    <t>Abingdon</t>
  </si>
  <si>
    <t>Charlottesville</t>
  </si>
  <si>
    <t>Richmond</t>
  </si>
  <si>
    <t>Ashburn</t>
  </si>
  <si>
    <t>DC-McKinley</t>
  </si>
  <si>
    <t>DC-Friendship</t>
  </si>
  <si>
    <t>Alexandria</t>
  </si>
  <si>
    <t>Short Name</t>
  </si>
  <si>
    <t>Long Name</t>
  </si>
  <si>
    <t>Year</t>
  </si>
  <si>
    <t>Season Name</t>
  </si>
  <si>
    <t>Item</t>
  </si>
  <si>
    <t>Date</t>
  </si>
  <si>
    <t>Team Name</t>
  </si>
  <si>
    <t>Coach Name</t>
  </si>
  <si>
    <t>Organization</t>
  </si>
  <si>
    <t>Div</t>
  </si>
  <si>
    <t>Mem</t>
  </si>
  <si>
    <t>State?</t>
  </si>
  <si>
    <t>D1</t>
  </si>
  <si>
    <t>D2</t>
  </si>
  <si>
    <t>ADV</t>
  </si>
  <si>
    <t>Newport_News</t>
  </si>
  <si>
    <t>Glen_Allen</t>
  </si>
  <si>
    <t>Manassas_1</t>
  </si>
  <si>
    <t>Manassas_2</t>
  </si>
  <si>
    <t>D1 Judged Awards</t>
  </si>
  <si>
    <t>D2 Judged Awards</t>
  </si>
  <si>
    <t>D1 Robot Perf Awards</t>
  </si>
  <si>
    <t>D2 Robot Perf Awards</t>
  </si>
  <si>
    <t>Judged Awards Per Team</t>
  </si>
  <si>
    <t>D1 Awards</t>
  </si>
  <si>
    <t>D2 Awards</t>
  </si>
  <si>
    <t>Total Teams</t>
  </si>
  <si>
    <t>Total Teams D1</t>
  </si>
  <si>
    <t>Total Teams D2</t>
  </si>
  <si>
    <t>Judges Awards</t>
  </si>
  <si>
    <t>Volunteer Awards</t>
  </si>
  <si>
    <t>Judged Awards Per D1 Team</t>
  </si>
  <si>
    <t>Judged Awards Per D2 Team</t>
  </si>
  <si>
    <t>Total Tournament Awards</t>
  </si>
  <si>
    <t>Key</t>
  </si>
  <si>
    <t>Value</t>
  </si>
  <si>
    <t>Test</t>
  </si>
  <si>
    <t>Unearthed</t>
  </si>
  <si>
    <t>Henrico_Godwin</t>
  </si>
  <si>
    <t>Henrico_Freeman</t>
  </si>
  <si>
    <t>Chantilly</t>
  </si>
  <si>
    <t>Hayfield_1</t>
  </si>
  <si>
    <t>Hayfield_2</t>
  </si>
  <si>
    <t>Justin Upchurch</t>
  </si>
  <si>
    <t>Chelsea Simpson</t>
  </si>
  <si>
    <t>John Sammons</t>
  </si>
  <si>
    <t>Megan Grant</t>
  </si>
  <si>
    <t>Divisions</t>
  </si>
  <si>
    <t>P_AWD_RG</t>
  </si>
  <si>
    <t>J_AWD_CHAMP</t>
  </si>
  <si>
    <t>J_AWD_IP</t>
  </si>
  <si>
    <t>J_AWD_RD</t>
  </si>
  <si>
    <t>J_AWD_CV</t>
  </si>
  <si>
    <t>J_AWD_Judges</t>
  </si>
  <si>
    <t>J_AWD_BT</t>
  </si>
  <si>
    <t>J_AWD_RisAll</t>
  </si>
  <si>
    <t>J_AWD_CL</t>
  </si>
  <si>
    <t>Name</t>
  </si>
  <si>
    <t>TournCount</t>
  </si>
  <si>
    <t>D1Count</t>
  </si>
  <si>
    <t>D2Count</t>
  </si>
  <si>
    <t>Label1</t>
  </si>
  <si>
    <t>Label2</t>
  </si>
  <si>
    <t>Label3</t>
  </si>
  <si>
    <t>Champions</t>
  </si>
  <si>
    <t>Champions 1st Place</t>
  </si>
  <si>
    <t>Champions 2nd Place</t>
  </si>
  <si>
    <t>Champions 3rd Place</t>
  </si>
  <si>
    <t>Robot Design</t>
  </si>
  <si>
    <t>Robot Design 1st Place</t>
  </si>
  <si>
    <t>Robot Design 2nd Place</t>
  </si>
  <si>
    <t>Robot Design 3rd Place</t>
  </si>
  <si>
    <t>Innovation Project</t>
  </si>
  <si>
    <t>Innovation Project 1st Place</t>
  </si>
  <si>
    <t>Innovation Project 2nd Place</t>
  </si>
  <si>
    <t>Innovation Project 3rd Place</t>
  </si>
  <si>
    <t>Core Values</t>
  </si>
  <si>
    <t>Core Values 1st Place</t>
  </si>
  <si>
    <t>Core Values 2nd Place</t>
  </si>
  <si>
    <t>Core Values 3rd Place</t>
  </si>
  <si>
    <t>Judges</t>
  </si>
  <si>
    <t>Judges 1</t>
  </si>
  <si>
    <t>Judges 2</t>
  </si>
  <si>
    <t>Judges 3</t>
  </si>
  <si>
    <t>Robot Game</t>
  </si>
  <si>
    <t>Robot Game 1st Place</t>
  </si>
  <si>
    <t>Robot Game 2nd Place</t>
  </si>
  <si>
    <t>Robot Game 3rd Place</t>
  </si>
  <si>
    <t>DivAward</t>
  </si>
  <si>
    <t>ColumnName</t>
  </si>
  <si>
    <t>Breakthrough</t>
  </si>
  <si>
    <t>Rising Allstar</t>
  </si>
  <si>
    <t>Community Leader</t>
  </si>
  <si>
    <t>Breakthrough 1st Place</t>
  </si>
  <si>
    <t>Breakthrough 2nd Place</t>
  </si>
  <si>
    <t>Breakthrough 3rd Place</t>
  </si>
  <si>
    <t>Rising Allstar 1st Place</t>
  </si>
  <si>
    <t>Rising Allstar 2nd Place</t>
  </si>
  <si>
    <t>Rising Allstar 3rd Place</t>
  </si>
  <si>
    <t>Community Leader 1st Place</t>
  </si>
  <si>
    <t>Community Leader 2nd Place</t>
  </si>
  <si>
    <t>Community Leader 3rd Place</t>
  </si>
  <si>
    <t>Advancing</t>
  </si>
  <si>
    <t>Advancing 1</t>
  </si>
  <si>
    <t>Advancing 2</t>
  </si>
  <si>
    <t>Advancing 3</t>
  </si>
  <si>
    <t>OJS_FileName</t>
  </si>
  <si>
    <t>ScriptTagD1</t>
  </si>
  <si>
    <t>ScriptTagD2</t>
  </si>
  <si>
    <t>ScriptTagNoDiv</t>
  </si>
  <si>
    <t>J_AWD_CHAMP_D1</t>
  </si>
  <si>
    <t>J_AWD_RD_D1</t>
  </si>
  <si>
    <t>J_AWD_IP_D1</t>
  </si>
  <si>
    <t>J_AWD_CV_D1</t>
  </si>
  <si>
    <t>ADV_D1</t>
  </si>
  <si>
    <t>J_AWD_CHAMP_D2</t>
  </si>
  <si>
    <t>J_AWD_RD_D2</t>
  </si>
  <si>
    <t>J_AWD_IP_D2</t>
  </si>
  <si>
    <t>J_AWD_CV_D2</t>
  </si>
  <si>
    <t>ADV_D2</t>
  </si>
  <si>
    <t>P_AWD_RG_D1</t>
  </si>
  <si>
    <t>P_AWD_RG_D2</t>
  </si>
  <si>
    <t>Team #</t>
  </si>
  <si>
    <t>Rivermount_Haven</t>
  </si>
  <si>
    <t>Solara_Crest</t>
  </si>
  <si>
    <t>Brindlewick</t>
  </si>
  <si>
    <t>Northfall_Reach</t>
  </si>
  <si>
    <t>Marinth_Bay</t>
  </si>
  <si>
    <t>Ironvale_Junction</t>
  </si>
  <si>
    <t>Cinderbrook</t>
  </si>
  <si>
    <t>Velastra_Heights</t>
  </si>
  <si>
    <t>Port_Halcyon</t>
  </si>
  <si>
    <t>Thornridge_Hollow</t>
  </si>
  <si>
    <t>Azurefen_City</t>
  </si>
  <si>
    <t>Redspire_Bluff</t>
  </si>
  <si>
    <t>Kestrelford</t>
  </si>
  <si>
    <t>Moonwell_Harbor</t>
  </si>
  <si>
    <t>Driftstone_Flats</t>
  </si>
  <si>
    <t>Silverhollow</t>
  </si>
  <si>
    <t>Windmere_Gate</t>
  </si>
  <si>
    <t>Praxion_Delta</t>
  </si>
  <si>
    <t>2025-vadc-fll-challenge-Unearthed-ojs-Rivermount_Haven.xlsm</t>
  </si>
  <si>
    <t>2025-vadc-fll-challenge-Unearthed-ojs-Solara_Crest.xlsm</t>
  </si>
  <si>
    <t>2025-vadc-fll-challenge-Unearthed-ojs-Brindlewick.xlsm</t>
  </si>
  <si>
    <t>2025-vadc-fll-challenge-Unearthed-ojs-Northfall_Reach.xlsm</t>
  </si>
  <si>
    <t>2025-vadc-fll-challenge-Unearthed-ojs-Marinth_Bay.xlsm</t>
  </si>
  <si>
    <t>2025-vadc-fll-challenge-Unearthed-ojs-Ironvale_Junction.xlsm</t>
  </si>
  <si>
    <t>2025-vadc-fll-challenge-Unearthed-ojs-Cinderbrook.xlsm</t>
  </si>
  <si>
    <t>2025-vadc-fll-challenge-Unearthed-ojs-Velastra_Heights.xlsm</t>
  </si>
  <si>
    <t>2025-vadc-fll-challenge-Unearthed-ojs-Port_Halcyon.xlsm</t>
  </si>
  <si>
    <t>2025-vadc-fll-challenge-Unearthed-ojs-Thornridge_Hollow.xlsm</t>
  </si>
  <si>
    <t>2025-vadc-fll-challenge-Unearthed-ojs-Azurefen_City.xlsm</t>
  </si>
  <si>
    <t>2025-vadc-fll-challenge-Unearthed-ojs-Redspire_Bluff.xlsm</t>
  </si>
  <si>
    <t>2025-vadc-fll-challenge-Unearthed-ojs-Kestrelford.xlsm</t>
  </si>
  <si>
    <t>2025-vadc-fll-challenge-Unearthed-ojs-Moonwell_Harbor.xlsm</t>
  </si>
  <si>
    <t>2025-vadc-fll-challenge-Unearthed-ojs-Driftstone_Flats.xlsm</t>
  </si>
  <si>
    <t>2025-vadc-fll-challenge-Unearthed-ojs-Silverhollow.xlsm</t>
  </si>
  <si>
    <t>2025-vadc-fll-challenge-Unearthed-ojs-Windmere_Gate.xlsm</t>
  </si>
  <si>
    <t>2025-vadc-fll-challenge-Unearthed-ojs-Praxion_Delta.xlsm</t>
  </si>
  <si>
    <t>Brindlewick 2025 Unearthed Qualifier Tournament</t>
  </si>
  <si>
    <t>Cinderbrook 2025 Unearthed Qualifier Tournament</t>
  </si>
  <si>
    <t>Kestrelford 2025 Unearthed Qualifier Tournament</t>
  </si>
  <si>
    <t>Silverhollow 2025 Unearthed Qualifier Tournament</t>
  </si>
  <si>
    <t>Rivermount Haven 2025 Unearthed Qualifier Tournament</t>
  </si>
  <si>
    <t>Solara Crest 2025 Unearthed Qualifier Tournament</t>
  </si>
  <si>
    <t>Northfall Reach 2025 Unearthed Qualifier Tournament</t>
  </si>
  <si>
    <t>Marinth Bay 2025 Unearthed Qualifier Tournament</t>
  </si>
  <si>
    <t>Ironvale Junction 2025 Unearthed Qualifier Tournament</t>
  </si>
  <si>
    <t>Velastra Heights 2025 Unearthed Qualifier Tournament3</t>
  </si>
  <si>
    <t>Port Halcyon 2025 Unearthed Qualifier Tournament3</t>
  </si>
  <si>
    <t>Thornridge Hollow 2025 Unearthed Qualifier Tournament</t>
  </si>
  <si>
    <t>Azurefen City 2025 Unearthed Qualifier Tournament</t>
  </si>
  <si>
    <t>Redspire Bluff 2025 Unearthed Qualifier Tournament</t>
  </si>
  <si>
    <t>Moonwell Harbor 2025 Unearthed Qualifier Tournament</t>
  </si>
  <si>
    <t>Driftstone Flats 2025 Unearthed Qualifier Tournament3</t>
  </si>
  <si>
    <t>Windmere Gate 2025 Unearthed Qualifier Tournament3</t>
  </si>
  <si>
    <t>Praxion Delta 2025 Unearthed Qualifier Tournament</t>
  </si>
  <si>
    <t>Dunford</t>
  </si>
  <si>
    <t>Dunford 2025 Unearthed Qualifier Tournament</t>
  </si>
  <si>
    <t>2025-vadc-fll-challenge-Unearthed-ojs-Dunford.xlsm</t>
  </si>
  <si>
    <t>Champ1</t>
  </si>
  <si>
    <t>VADC 2025 Championship Division 1 Tournament</t>
  </si>
  <si>
    <t>Champ2</t>
  </si>
  <si>
    <t>VADC 2025 Championship Division 2 Tournament</t>
  </si>
  <si>
    <t>Robellion</t>
  </si>
  <si>
    <t>Lang Ly</t>
  </si>
  <si>
    <t>Nova Labs</t>
  </si>
  <si>
    <t>Greenbrier Panthers</t>
  </si>
  <si>
    <t>Greenbrier Intermediate School</t>
  </si>
  <si>
    <t>Victory Robotics</t>
  </si>
  <si>
    <t>Joy Moller</t>
  </si>
  <si>
    <t xml:space="preserve">Victory Elementary </t>
  </si>
  <si>
    <t>Space Invaders</t>
  </si>
  <si>
    <t>Josselyn Fountain</t>
  </si>
  <si>
    <t>Chris Yung Elementary</t>
  </si>
  <si>
    <t>In T.E.N.T.S.</t>
  </si>
  <si>
    <t>Michael Hobbs</t>
  </si>
  <si>
    <t>Hillsville Elementary</t>
  </si>
  <si>
    <t>Glenkirk Golden Gears</t>
  </si>
  <si>
    <t>Jennifer Oister</t>
  </si>
  <si>
    <t>Glenkirk Elementary</t>
  </si>
  <si>
    <t>8 Stars</t>
  </si>
  <si>
    <t>Jennifer Roberts</t>
  </si>
  <si>
    <t>Piney Branch Elementary School</t>
  </si>
  <si>
    <t>The Sea Salters</t>
  </si>
  <si>
    <t>Todd Hedrick</t>
  </si>
  <si>
    <t>Hillsville Elementary School</t>
  </si>
  <si>
    <t>Mighty Mount Vernon Mustangs</t>
  </si>
  <si>
    <t>Mt. Vernon Elementary School</t>
  </si>
  <si>
    <t>The Mini Jackets</t>
  </si>
  <si>
    <t>Patrick Heath</t>
  </si>
  <si>
    <t>Osbourn Park High School</t>
  </si>
  <si>
    <t>The Wild Robots</t>
  </si>
  <si>
    <t>Martha Wild</t>
  </si>
  <si>
    <t>Greenfield Elementary</t>
  </si>
  <si>
    <t>Marshall Eaglebots</t>
  </si>
  <si>
    <t>Nick Simonetti</t>
  </si>
  <si>
    <t xml:space="preserve">Marshall Elementary </t>
  </si>
  <si>
    <t>Coding Cats</t>
  </si>
  <si>
    <t>Ryan Daza</t>
  </si>
  <si>
    <t>Capitol City Robotics</t>
  </si>
  <si>
    <t>Excavating Gators</t>
  </si>
  <si>
    <t>Kimberly Hundley</t>
  </si>
  <si>
    <t>Gladesboro Elementary</t>
  </si>
  <si>
    <t>The PHinders</t>
  </si>
  <si>
    <t>Erika Crockett</t>
  </si>
  <si>
    <t>Patrick Henry Elementary School</t>
  </si>
  <si>
    <t>Beam Bots</t>
  </si>
  <si>
    <t>Palani Annamalai</t>
  </si>
  <si>
    <t>Fire Breathing Gummy Bears</t>
  </si>
  <si>
    <t>Ian Armitage</t>
  </si>
  <si>
    <t>St. Catherine's School</t>
  </si>
  <si>
    <t>The Fried Eggs</t>
  </si>
  <si>
    <t>Melonie Yielding</t>
  </si>
  <si>
    <t>Innovation ES</t>
  </si>
  <si>
    <t>Rhea Valley Dino Nuggets</t>
  </si>
  <si>
    <t>Jeremiah Eskridge</t>
  </si>
  <si>
    <t>Alvey Sun Droids</t>
  </si>
  <si>
    <t>Deborah Tekampe</t>
  </si>
  <si>
    <t>Alvey Elementary</t>
  </si>
  <si>
    <t>Saints Robotics</t>
  </si>
  <si>
    <t>Kay Ossio</t>
  </si>
  <si>
    <t xml:space="preserve">St. Stephen's and St. Agnes </t>
  </si>
  <si>
    <t>Mechanical Cardinals</t>
  </si>
  <si>
    <t>LEGOAT Legends</t>
  </si>
  <si>
    <t>Erin Tarpley</t>
  </si>
  <si>
    <t>Raiders of the Lost Spark</t>
  </si>
  <si>
    <t>Alicia Simonds</t>
  </si>
  <si>
    <t>Springwoods Elementary</t>
  </si>
  <si>
    <t>RoboCougars</t>
  </si>
  <si>
    <t>Rachael Rachau</t>
  </si>
  <si>
    <t>Collegiate School</t>
  </si>
  <si>
    <t>Indiana Janes</t>
  </si>
  <si>
    <t>Bhavan N Pandya</t>
  </si>
  <si>
    <t>Hillside Elementary</t>
  </si>
  <si>
    <t>Robo Diggers</t>
  </si>
  <si>
    <t>Bengalbots</t>
  </si>
  <si>
    <t>Andrea Heithoff</t>
  </si>
  <si>
    <t>Bancroft Elementary School</t>
  </si>
  <si>
    <t>Robodragons</t>
  </si>
  <si>
    <t>Patty Pippenger</t>
  </si>
  <si>
    <t>NGES Lego Dragoneers</t>
  </si>
  <si>
    <t>Erin Cummings</t>
  </si>
  <si>
    <t>Nathanael Greene Elementary School</t>
  </si>
  <si>
    <t>Curious Minds</t>
  </si>
  <si>
    <t>Rohan Gupta</t>
  </si>
  <si>
    <t>Cool Robot Bruh</t>
  </si>
  <si>
    <t>Newsome Park Elementary School</t>
  </si>
  <si>
    <t>Roar Bot 13</t>
  </si>
  <si>
    <t>Carolyn Sandoval</t>
  </si>
  <si>
    <t>Christ Chapel Academy</t>
  </si>
  <si>
    <t>Mecha Masters</t>
  </si>
  <si>
    <t>Ankur Mittal</t>
  </si>
  <si>
    <t>Odin Wise</t>
  </si>
  <si>
    <t>Chaos Seekers</t>
  </si>
  <si>
    <t>Michelle Curtis</t>
  </si>
  <si>
    <t>Miner Minions</t>
  </si>
  <si>
    <t>JB Watkins Elementary</t>
  </si>
  <si>
    <t>Scripted Builders</t>
  </si>
  <si>
    <t>The Sandstorms</t>
  </si>
  <si>
    <t>Erin Roche</t>
  </si>
  <si>
    <t xml:space="preserve"> Bristow Run Elementary</t>
  </si>
  <si>
    <t>Robo-Penguins</t>
  </si>
  <si>
    <t>Doug Tempest</t>
  </si>
  <si>
    <t xml:space="preserve">Mary Munford </t>
  </si>
  <si>
    <t>Kaechele Coyotes-Brickologists</t>
  </si>
  <si>
    <t>Jay Harter</t>
  </si>
  <si>
    <t>Kaechele Elementary School</t>
  </si>
  <si>
    <t>Nebula Horizon</t>
  </si>
  <si>
    <t>Devaki Venkataramanaiah</t>
  </si>
  <si>
    <t>Oakhill</t>
  </si>
  <si>
    <t>The Ancient UNCS</t>
  </si>
  <si>
    <t>Srinivasalu Simini</t>
  </si>
  <si>
    <t>Yantra Robotics Academy</t>
  </si>
  <si>
    <t>Sigma7</t>
  </si>
  <si>
    <t>Kalyan Lanka</t>
  </si>
  <si>
    <t>McLean Robotics</t>
  </si>
  <si>
    <t>Synergy</t>
  </si>
  <si>
    <t>Christina Rodi</t>
  </si>
  <si>
    <t>I4STEM</t>
  </si>
  <si>
    <t>CYBORG CODERS</t>
  </si>
  <si>
    <t>Jitendra Kumar</t>
  </si>
  <si>
    <t>Carrie Matsko</t>
  </si>
  <si>
    <t>Kalamoo Community Outreach</t>
  </si>
  <si>
    <t>Treasure Trappers</t>
  </si>
  <si>
    <t>Jennifer Payne</t>
  </si>
  <si>
    <t>Salem Montessori</t>
  </si>
  <si>
    <t>RoboDragons</t>
  </si>
  <si>
    <t>Varun Aggarwal</t>
  </si>
  <si>
    <t>Maybeury Mallards Challenge Team</t>
  </si>
  <si>
    <t>Christina Robertson</t>
  </si>
  <si>
    <t>Maybeury Elementary-HCPS</t>
  </si>
  <si>
    <t>The Dirty Byrds</t>
  </si>
  <si>
    <t>Zoe Parrish</t>
  </si>
  <si>
    <t>Byrd Elementary School</t>
  </si>
  <si>
    <t>Bionical Brains</t>
  </si>
  <si>
    <t>Vishwas Setty</t>
  </si>
  <si>
    <t>Eshkavaitors</t>
  </si>
  <si>
    <t>Suman Sampath</t>
  </si>
  <si>
    <t>McNair Upper Elementary</t>
  </si>
  <si>
    <t>UNEARTHED TITANS</t>
  </si>
  <si>
    <t>Chinna Obul R Kachana</t>
  </si>
  <si>
    <t>Fossil Force</t>
  </si>
  <si>
    <t>Absolute Zero</t>
  </si>
  <si>
    <t>Tomb Raiders</t>
  </si>
  <si>
    <t>Norfolk Collegiate O.A.K.S.</t>
  </si>
  <si>
    <t>Techtonic Force</t>
  </si>
  <si>
    <t>Blazing Torch</t>
  </si>
  <si>
    <t>The Fragile Castdown</t>
  </si>
  <si>
    <t>Notorious D.I.G. (Digging, Identifying, Grouping)</t>
  </si>
  <si>
    <t>OLMC Yellow</t>
  </si>
  <si>
    <t>MasterMinds</t>
  </si>
  <si>
    <t>The Mountain Miners</t>
  </si>
  <si>
    <t>The Ancient Chickens</t>
  </si>
  <si>
    <t>Night Owls</t>
  </si>
  <si>
    <t>roboFoxes</t>
  </si>
  <si>
    <t>Blinged Out Bumblebees</t>
  </si>
  <si>
    <t>OLMC Blue</t>
  </si>
  <si>
    <t>The Lego My Eggo Cows</t>
  </si>
  <si>
    <t>Ultrabots</t>
  </si>
  <si>
    <t>Bobcat Builders</t>
  </si>
  <si>
    <t>Pink Ladies</t>
  </si>
  <si>
    <t>Red Saints</t>
  </si>
  <si>
    <t>Next Level</t>
  </si>
  <si>
    <t>Tech Turtles</t>
  </si>
  <si>
    <t>Raiders</t>
  </si>
  <si>
    <t>Amazing Samurai</t>
  </si>
  <si>
    <t>Trailblazing Titans</t>
  </si>
  <si>
    <t>~ Wild Spirits ~</t>
  </si>
  <si>
    <t>Star City Tronics</t>
  </si>
  <si>
    <t>Alpha Bots</t>
  </si>
  <si>
    <t>Circuit Squirrels</t>
  </si>
  <si>
    <t>Potomac PyRitz</t>
  </si>
  <si>
    <t>Lego Legends</t>
  </si>
  <si>
    <t>Supercharged</t>
  </si>
  <si>
    <t>Limitless</t>
  </si>
  <si>
    <t>Igniteovators</t>
  </si>
  <si>
    <t>Lego Bros</t>
  </si>
  <si>
    <t>Lego Warriors</t>
  </si>
  <si>
    <t>Dolphin Dazzle</t>
  </si>
  <si>
    <t>ITKAN-MASMinds</t>
  </si>
  <si>
    <t>Garfield Lego Robotics</t>
  </si>
  <si>
    <t>Dragons and Unicorns</t>
  </si>
  <si>
    <t>Rainbow Radishes</t>
  </si>
  <si>
    <t>Wired Dolphins</t>
  </si>
  <si>
    <t>Robot Rebels- Skywalkers</t>
  </si>
  <si>
    <t>Show of Hands</t>
  </si>
  <si>
    <t>The Embers</t>
  </si>
  <si>
    <t>Lego Legion 1</t>
  </si>
  <si>
    <t>Andromeda</t>
  </si>
  <si>
    <t>The Masterpiece Academy</t>
  </si>
  <si>
    <t>Dime Dinos</t>
  </si>
  <si>
    <t>M squared</t>
  </si>
  <si>
    <t>The Lava Chickens</t>
  </si>
  <si>
    <t>Tech Titans</t>
  </si>
  <si>
    <t>Adventurous Armadillos</t>
  </si>
  <si>
    <t>PlasmaBots!</t>
  </si>
  <si>
    <t>Mechanical Minds</t>
  </si>
  <si>
    <t>Team Maverick</t>
  </si>
  <si>
    <t>Gryffin Gears</t>
  </si>
  <si>
    <t>Block Buster</t>
  </si>
  <si>
    <t>FOSSIL FINDERS</t>
  </si>
  <si>
    <t>2025-vadc-fll-challenge-Unearthed-ojs-Champ-D1.xlsm</t>
  </si>
  <si>
    <t>2025-vadc-fll-challenge-Unearthed-ojs-Champ-D2.xlsm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</si>
</sst>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Aptos Narrow"/>
      <family val="2"/>
      <scheme val="minor"/>
    </font>
    <font>
      <sz val="11"/>
      <color theme="1"/>
      <name val="Calibri"/>
      <family val="2"/>
    </font>
    <font>
      <sz val="8"/>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8">
    <xf numFmtId="0" fontId="0" fillId="0" borderId="0" xfId="0"/>
    <xf numFmtId="0" fontId="1" fillId="0" borderId="0" xfId="0" applyFont="1"/>
    <xf numFmtId="164" fontId="1" fillId="0" borderId="0" xfId="0" applyNumberFormat="1" applyFont="1"/>
    <xf numFmtId="0" fontId="3" fillId="0" borderId="0" xfId="0" applyFont="1"/>
    <xf numFmtId="14" fontId="1" fillId="0" borderId="0" xfId="0" applyNumberFormat="1" applyFont="1"/>
    <xf numFmtId="0" fontId="1" fillId="0" borderId="1" xfId="0" applyFont="1" applyBorder="1"/>
    <xf numFmtId="0" fontId="1" fillId="2" borderId="0" xfId="0" applyFont="1" applyFill="1"/>
    <xf numFmtId="14" fontId="0" fillId="0" borderId="0" xfId="0" applyNumberFormat="1"/>
  </cellXfs>
  <cellStyles count="1">
    <cellStyle name="Normal" xfId="0" builtinId="0"/>
  </cellStyles>
  <dxfs count="61">
    <dxf>
      <numFmt numFmtId="0" formatCode="Genera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numFmt numFmtId="0" formatCode="General"/>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12</xdr:col>
      <xdr:colOff>352425</xdr:colOff>
      <xdr:row>1</xdr:row>
      <xdr:rowOff>0</xdr:rowOff>
    </xdr:from>
    <xdr:ext cx="3933825" cy="2675732"/>
    <xdr:sp macro="" textlink="">
      <xdr:nvSpPr>
        <xdr:cNvPr id="2" name="TextBox 1">
          <a:extLst>
            <a:ext uri="{FF2B5EF4-FFF2-40B4-BE49-F238E27FC236}">
              <a16:creationId xmlns:a16="http://schemas.microsoft.com/office/drawing/2014/main" id="{C0218E6B-8CE3-005A-5BC2-385E0AEB0F65}"/>
            </a:ext>
          </a:extLst>
        </xdr:cNvPr>
        <xdr:cNvSpPr txBox="1"/>
      </xdr:nvSpPr>
      <xdr:spPr>
        <a:xfrm>
          <a:off x="17878425" y="552450"/>
          <a:ext cx="3933825" cy="267573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J_ = Judged award</a:t>
          </a:r>
        </a:p>
        <a:p>
          <a:r>
            <a:rPr lang="en-US" sz="1100"/>
            <a:t>P_ = Performance award</a:t>
          </a:r>
        </a:p>
        <a:p>
          <a:endParaRPr lang="en-US" sz="1100"/>
        </a:p>
        <a:p>
          <a:r>
            <a:rPr lang="en-US" sz="1100"/>
            <a:t>Make sure to always put J_Champ first (i.e., column C) because these</a:t>
          </a:r>
          <a:r>
            <a:rPr lang="en-US" sz="1100" baseline="0"/>
            <a:t> awards are listed in the excel dropdown in the same order they are lsited here.</a:t>
          </a:r>
        </a:p>
        <a:p>
          <a:endParaRPr lang="en-US" sz="1100" baseline="0"/>
        </a:p>
        <a:p>
          <a:r>
            <a:rPr lang="en-US" sz="1100" baseline="0"/>
            <a:t>For any tournament-level awards (such as the judges award), be sure to put the same number of awards in each division. For example, if the Norfolk tournament will have 2 judges award, that is the number for the entire tournament including D1 and D2. Place a 2 in both rows for the J_AWD_Judges.</a:t>
          </a:r>
        </a:p>
        <a:p>
          <a:endParaRPr lang="en-US" sz="1100" baseline="0"/>
        </a:p>
        <a:p>
          <a:r>
            <a:rPr lang="en-US" sz="1100" baseline="0"/>
            <a:t>Be sure the award columns here have corresponding entries on the AwardDef worksheet.</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190500</xdr:colOff>
      <xdr:row>1</xdr:row>
      <xdr:rowOff>161925</xdr:rowOff>
    </xdr:from>
    <xdr:ext cx="184731" cy="264560"/>
    <xdr:sp macro="" textlink="">
      <xdr:nvSpPr>
        <xdr:cNvPr id="2" name="TextBox 1">
          <a:extLst>
            <a:ext uri="{FF2B5EF4-FFF2-40B4-BE49-F238E27FC236}">
              <a16:creationId xmlns:a16="http://schemas.microsoft.com/office/drawing/2014/main" id="{7F9F3CDD-FE87-E2B9-AA5D-3D05A51DB04D}"/>
            </a:ext>
          </a:extLst>
        </xdr:cNvPr>
        <xdr:cNvSpPr txBox="1"/>
      </xdr:nvSpPr>
      <xdr:spPr>
        <a:xfrm>
          <a:off x="3152775" y="352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152400</xdr:colOff>
      <xdr:row>0</xdr:row>
      <xdr:rowOff>133350</xdr:rowOff>
    </xdr:from>
    <xdr:ext cx="3571875" cy="1470146"/>
    <xdr:sp macro="" textlink="">
      <xdr:nvSpPr>
        <xdr:cNvPr id="3" name="TextBox 2">
          <a:extLst>
            <a:ext uri="{FF2B5EF4-FFF2-40B4-BE49-F238E27FC236}">
              <a16:creationId xmlns:a16="http://schemas.microsoft.com/office/drawing/2014/main" id="{BD1AF316-5369-AB23-B32D-108D860AF9C5}"/>
            </a:ext>
          </a:extLst>
        </xdr:cNvPr>
        <xdr:cNvSpPr txBox="1"/>
      </xdr:nvSpPr>
      <xdr:spPr>
        <a:xfrm>
          <a:off x="5619750" y="133350"/>
          <a:ext cx="3571875" cy="1470146"/>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If your region uses divisions (such as VA-DC), set "Divisions" to true. Even if you have some tournaments that are a single division, setting this to</a:t>
          </a:r>
          <a:r>
            <a:rPr lang="en-US" sz="1100" baseline="0"/>
            <a:t> true will make sure the "division" language is in the closing ceremony scripts ("The Division 1 first-place champion is team 1234 Lego masters"). Setting Divisions to false will remove all references to the term "division" and will force all tournaments to recognize only a single OJS.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590549</xdr:colOff>
      <xdr:row>11</xdr:row>
      <xdr:rowOff>142875</xdr:rowOff>
    </xdr:from>
    <xdr:ext cx="9229725" cy="3881319"/>
    <xdr:sp macro="" textlink="">
      <xdr:nvSpPr>
        <xdr:cNvPr id="2" name="TextBox 1">
          <a:extLst>
            <a:ext uri="{FF2B5EF4-FFF2-40B4-BE49-F238E27FC236}">
              <a16:creationId xmlns:a16="http://schemas.microsoft.com/office/drawing/2014/main" id="{F3466F8B-9378-44CD-9881-7BB840BCDB8C}"/>
            </a:ext>
          </a:extLst>
        </xdr:cNvPr>
        <xdr:cNvSpPr txBox="1"/>
      </xdr:nvSpPr>
      <xdr:spPr>
        <a:xfrm>
          <a:off x="590549" y="2238375"/>
          <a:ext cx="9229725" cy="388131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List all awards that any of your tournaments are using here. </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Putting an award on this sheet does not automatically mean it will appear in any given tournament OJS. That is determined by how many of those awards are allocated for each tournament on the Tournaments worksheet and DivAwards worksheet. This worksheet only defines the award. If you list an award here that has 0 allocations at any and all tournaments, that award will not show up on any OJS. This is only a lookup table to get the definition for an award</a:t>
          </a:r>
          <a:endParaRPr lang="en-US">
            <a:effectLst/>
          </a:endParaRPr>
        </a:p>
        <a:p>
          <a:endParaRPr lang="en-US" sz="1100"/>
        </a:p>
        <a:p>
          <a:r>
            <a:rPr lang="en-US" sz="1100"/>
            <a:t>For ColumnName, enter in the column name as used on the Tournaments and DivAwards worksheets.</a:t>
          </a:r>
          <a:r>
            <a:rPr lang="en-US" sz="1100" baseline="0"/>
            <a:t> Do not repeat any column names in this column (otherwise only the first one will be used)</a:t>
          </a:r>
          <a:endParaRPr lang="en-US" sz="1100"/>
        </a:p>
        <a:p>
          <a:endParaRPr lang="en-US" sz="1100"/>
        </a:p>
        <a:p>
          <a:r>
            <a:rPr lang="en-US" sz="1100"/>
            <a:t>Enter TRUE or FALSE in the DivAward column. If your region does not use divisions, these</a:t>
          </a:r>
          <a:r>
            <a:rPr lang="en-US" sz="1100" baseline="0"/>
            <a:t> will all be FALSE. If your region does use divisions (such as VA-DC), you might still have some awards that are given at the tournament level (such as a Judges award). Enter FALSE for any awards that are awarded at the tournament level. Awards that are allocated at the division level should have TRUE in this column. If you have "Divisions" set to FALSE on the SeasonInfo worksheet, then all of these should also be false.</a:t>
          </a:r>
        </a:p>
        <a:p>
          <a:endParaRPr lang="en-US" sz="1100" baseline="0"/>
        </a:p>
        <a:p>
          <a:r>
            <a:rPr lang="en-US" sz="1100" baseline="0"/>
            <a:t>Leve zeroes for columns D, E, and F (Tourn, D1Count, and D2Count). Those columns will be automatically entered on your infividual tournament OJS spreadsheets.</a:t>
          </a:r>
        </a:p>
        <a:p>
          <a:endParaRPr lang="en-US" sz="1100" baseline="0"/>
        </a:p>
        <a:p>
          <a:r>
            <a:rPr lang="en-US" sz="1100" baseline="0"/>
            <a:t>Enter the text you want to display in the worksheet dropdowns and the closing ceremony script in columns G  H &amp; I. Label1 will be for first place, Label2 for 2nd, and Label3 for 3rd. You can add more Label# columns if needed.</a:t>
          </a:r>
        </a:p>
        <a:p>
          <a:endParaRPr lang="en-US" sz="1100" baseline="0"/>
        </a:p>
        <a:p>
          <a:r>
            <a:rPr lang="en-US" sz="1100" baseline="0"/>
            <a:t>Enter TRUE or FALSE if this award should appear on the OJS spreadsheet in the OnAwdDropDown column. Normally  Robot Game will not appear on the OJS drop downs since they are calculated automatically.</a:t>
          </a:r>
        </a:p>
        <a:p>
          <a:endParaRPr lang="en-US" sz="1100" baseline="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C2782E-8D00-4650-88D9-CBAFC7F68F2F}" name="Summary" displayName="Summary" ref="A1:U17" totalsRowShown="0" headerRowDxfId="60" dataDxfId="59">
  <autoFilter ref="A1:U17" xr:uid="{BE3A572B-CA44-4747-B917-FCB04945D86D}"/>
  <tableColumns count="21">
    <tableColumn id="1" xr3:uid="{BF1F7E71-E66D-4B0C-89F9-16ABE7AA3A1D}" name="Item" dataDxfId="58"/>
    <tableColumn id="2" xr3:uid="{D668F0F3-57FC-4961-897C-AEAADA4362DF}" name="Newport_News" dataDxfId="57"/>
    <tableColumn id="3" xr3:uid="{0D9B86E2-CF98-40AA-AE69-31D927B8512D}" name="Henrico_Godwin" dataDxfId="56"/>
    <tableColumn id="4" xr3:uid="{23C8D6E7-CDEC-4B0A-A2FB-20309BE65D99}" name="Glen_Allen" dataDxfId="55"/>
    <tableColumn id="5" xr3:uid="{7D2B892A-A9F7-4E1F-A90C-EDFB5485B1AE}" name="Martinsville" dataDxfId="54"/>
    <tableColumn id="6" xr3:uid="{8187554D-A12A-428A-A29B-8D92D08DABAE}" name="Norfolk" dataDxfId="53"/>
    <tableColumn id="7" xr3:uid="{DD480F0C-B63E-4836-8615-3CBD1B456110}" name="Blacksburg" dataDxfId="52"/>
    <tableColumn id="8" xr3:uid="{E55B54A1-2E1E-4E81-B861-1254ADE8C3C7}" name="Abingdon" dataDxfId="51"/>
    <tableColumn id="9" xr3:uid="{F22D09BC-D7FE-45B8-B3AA-4A632D4F0531}" name="Charlottesville" dataDxfId="50"/>
    <tableColumn id="10" xr3:uid="{7703ECD1-EFAA-4F63-9050-425B0B9A7A45}" name="Manassas_1" dataDxfId="49"/>
    <tableColumn id="11" xr3:uid="{4286384C-47D1-4C43-897C-4839794136FF}" name="Chantilly" dataDxfId="48"/>
    <tableColumn id="12" xr3:uid="{B50C72AA-6A79-402B-807E-793A9D5D98BA}" name="Manassas_2" dataDxfId="47"/>
    <tableColumn id="13" xr3:uid="{60408385-DDF9-45CC-BF1F-54054F87E546}" name="Richmond" dataDxfId="46"/>
    <tableColumn id="14" xr3:uid="{E7460837-F884-44D7-8EB3-95FB2CE2AC4A}" name="DC-McKinley" dataDxfId="45"/>
    <tableColumn id="15" xr3:uid="{28672377-5931-492B-B0DB-D60F205A71D1}" name="DC-Friendship" dataDxfId="44"/>
    <tableColumn id="16" xr3:uid="{DE2FA6CE-1FFD-4892-9A73-81E4AA8ECB84}" name="Ashburn" dataDxfId="43"/>
    <tableColumn id="17" xr3:uid="{20F96C36-71C3-4737-9B8E-E6966F5E8BD5}" name="Alexandria" dataDxfId="42"/>
    <tableColumn id="23" xr3:uid="{3DCA30AE-A6A2-4AB3-9296-B49431379BE7}" name="Henrico_Freeman" dataDxfId="41"/>
    <tableColumn id="24" xr3:uid="{DF427F3F-27AF-4F92-A380-9BA8F66764C4}" name="Hayfield_1" dataDxfId="40"/>
    <tableColumn id="25" xr3:uid="{8B42BC8B-8E1F-4C9D-BAD3-BE48C8E8FB14}" name="Hayfield_2" dataDxfId="39"/>
    <tableColumn id="18" xr3:uid="{B503E49C-2072-4A2D-8458-9F5C833A9CE4}" name="Test" data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16C461-5BC9-4866-8279-89BA5266DF3D}" name="TournamentList" displayName="TournamentList" ref="A1:N20" totalsRowShown="0" headerRowDxfId="37" dataDxfId="36">
  <autoFilter ref="A1:N20" xr:uid="{7B16C461-5BC9-4866-8279-89BA5266DF3D}"/>
  <tableColumns count="14">
    <tableColumn id="1" xr3:uid="{41ADFF91-8737-40DB-B5BF-F1FE1207C8F3}" name="Short Name" dataDxfId="35"/>
    <tableColumn id="2" xr3:uid="{8C615F1E-6A8E-4D42-B4AF-FF0093E0EF5D}" name="Long Name" dataDxfId="34"/>
    <tableColumn id="5" xr3:uid="{60E0111B-D905-482F-A1BA-7C258739C404}" name="Date" dataDxfId="33"/>
    <tableColumn id="3" xr3:uid="{CD391DEA-3CAA-4B07-95CE-E82E2C75503C}" name="OJS_FileName" dataDxfId="32"/>
    <tableColumn id="16" xr3:uid="{589BE392-D192-48FB-BD40-5702D58DF938}" name="J_AWD_CHAMP" dataDxfId="31"/>
    <tableColumn id="17" xr3:uid="{FA8383F9-491B-4BD1-9FCC-9EAEE62C41B4}" name="J_AWD_IP" dataDxfId="30"/>
    <tableColumn id="18" xr3:uid="{88F56DA0-0566-4649-B005-071E67DC4D86}" name="J_AWD_RD" dataDxfId="29"/>
    <tableColumn id="19" xr3:uid="{931DAD6B-FFB1-4AF8-BE54-1AC7E9E2A345}" name="J_AWD_CV" dataDxfId="28"/>
    <tableColumn id="20" xr3:uid="{D867B27A-ED2F-4865-98DB-CECEFC2403A4}" name="J_AWD_Judges" dataDxfId="27"/>
    <tableColumn id="21" xr3:uid="{10865F36-DA77-4444-9FB1-1A3A1ED5430D}" name="P_AWD_RG" dataDxfId="26"/>
    <tableColumn id="22" xr3:uid="{7425636E-CB8A-4393-9F08-52250AF37B31}" name="J_AWD_BT" dataDxfId="25"/>
    <tableColumn id="23" xr3:uid="{0D14A66D-182C-4868-A20E-357F8EC3C9C7}" name="J_AWD_RisAll" dataDxfId="24"/>
    <tableColumn id="24" xr3:uid="{635C8BEE-8813-4870-B73F-F5B068653F7E}" name="J_AWD_CL" dataDxfId="23"/>
    <tableColumn id="6" xr3:uid="{D992314A-D45D-4770-AE5E-BCF9A32099CC}" name="ADV"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A06E95-68C8-4940-B680-2C0995F031C3}" name="DivTournamentList" displayName="DivTournamentList" ref="A1:L3" totalsRowShown="0">
  <autoFilter ref="A1:L3" xr:uid="{B6A06E95-68C8-4940-B680-2C0995F031C3}"/>
  <tableColumns count="12">
    <tableColumn id="1" xr3:uid="{13A1917A-5FA7-45FA-916C-27FE0F8E0A97}" name="Short Name"/>
    <tableColumn id="7" xr3:uid="{9239BE62-20DE-4C00-B4EA-0F023772BA66}" name="Long Name" dataDxfId="21"/>
    <tableColumn id="8" xr3:uid="{3D68214D-736A-4612-8FC4-63A9FB374D80}" name="Date" dataDxfId="20"/>
    <tableColumn id="41" xr3:uid="{FD3155A7-7337-4CCF-8C34-CE92DA3A68FB}" name="Div"/>
    <tableColumn id="6" xr3:uid="{A8A35723-08A9-4CA4-B0A0-9D1F1126A77A}" name="OJS_FileName">
      <calculatedColumnFormula>"2025-vadc-fll-challenge-Unearthed-ojs-" &amp; #REF! &amp; ".xlsm"</calculatedColumnFormula>
    </tableColumn>
    <tableColumn id="21" xr3:uid="{77D06F86-14CD-457E-96E9-6EB6B7AFEB60}" name="J_AWD_CHAMP" dataDxfId="19"/>
    <tableColumn id="22" xr3:uid="{996BB723-6D12-4C0A-9F23-3D5E78572496}" name="J_AWD_RD" dataDxfId="18"/>
    <tableColumn id="23" xr3:uid="{3C6ED932-F80C-4988-A3E5-3724D007931F}" name="J_AWD_IP" dataDxfId="17"/>
    <tableColumn id="24" xr3:uid="{C65C332E-AD2E-45F0-90A7-77C4F6D09E4D}" name="J_AWD_CV" dataDxfId="16"/>
    <tableColumn id="25" xr3:uid="{CC3139B7-4C8A-4742-964E-81B4CC04BA42}" name="P_AWD_RG" dataDxfId="15"/>
    <tableColumn id="17" xr3:uid="{705AB0EF-BD9F-4593-A5C8-9E6C4BA5D795}" name="ADV"/>
    <tableColumn id="3" xr3:uid="{A52BA350-4626-44A2-ADDE-201A847CD93A}" name="J_AWD_Judges"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45E064-699F-4B50-AC64-10C5360A5DC3}" name="Assignments" displayName="Assignments" ref="A1:H114" totalsRowShown="0" dataDxfId="13">
  <autoFilter ref="A1:H114" xr:uid="{5245E064-699F-4B50-AC64-10C5360A5DC3}"/>
  <tableColumns count="8">
    <tableColumn id="1" xr3:uid="{C494A647-227F-40A0-AF21-8E14E63FAE7A}" name="Short Name" dataDxfId="12"/>
    <tableColumn id="2" xr3:uid="{69A3FC9F-727B-4EFD-819E-768850C8CB00}" name="Team #" dataDxfId="11"/>
    <tableColumn id="3" xr3:uid="{278EACB6-A801-4319-849C-E37D6EAB748F}" name="Team Name" dataDxfId="10"/>
    <tableColumn id="4" xr3:uid="{8F817912-69FC-44DC-91B2-68C5C3575940}" name="Coach Name" dataDxfId="9"/>
    <tableColumn id="5" xr3:uid="{4991FCB8-BE6E-4947-A78F-20515BD2B1BC}" name="Organization" dataDxfId="8"/>
    <tableColumn id="6" xr3:uid="{458789FB-ACA2-4AE5-BF28-87906130022C}" name="Div" dataDxfId="7"/>
    <tableColumn id="7" xr3:uid="{52B92E3D-40FD-492A-B778-6CC6A1C881B2}" name="Mem" dataDxfId="6"/>
    <tableColumn id="8" xr3:uid="{78B6183D-6435-4716-A451-31227AA321DB}" name="State?"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657A99-D095-41E6-8647-D7ADD5411F40}" name="SeasonInfo" displayName="SeasonInfo" ref="A1:B4" totalsRowShown="0" dataDxfId="4">
  <autoFilter ref="A1:B4" xr:uid="{0F657A99-D095-41E6-8647-D7ADD5411F40}"/>
  <tableColumns count="2">
    <tableColumn id="1" xr3:uid="{962D98B7-2F6C-42A1-A5DF-ECC2C1221D6F}" name="Key" dataDxfId="3"/>
    <tableColumn id="2" xr3:uid="{37DF278B-FFB0-4267-BFAB-CC838DF07745}" name="Value" dataDxfId="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1F126B-945C-406B-8B73-6AF5B012AD28}" name="AwardDef" displayName="AwardDef" ref="A1:L11" totalsRowShown="0">
  <autoFilter ref="A1:L11" xr:uid="{911F126B-945C-406B-8B73-6AF5B012AD28}"/>
  <tableColumns count="12">
    <tableColumn id="10" xr3:uid="{B41192A5-5C82-4CE9-9376-A4AFC0CEE29B}" name="ColumnName"/>
    <tableColumn id="1" xr3:uid="{C00D0298-00CB-405A-9FB6-4C27D86F85D1}" name="Name"/>
    <tableColumn id="2" xr3:uid="{65E347C4-BA14-4E91-920A-792F716E3F63}" name="DivAward"/>
    <tableColumn id="3" xr3:uid="{F1B4BBB9-DACA-407B-B0AC-4F17380F8BEE}" name="TournCount"/>
    <tableColumn id="4" xr3:uid="{564EE955-C48E-4A70-B4C7-34248B78496C}" name="D1Count"/>
    <tableColumn id="5" xr3:uid="{7866C53E-690A-4804-BD3D-C99F1ADEB21F}" name="D2Count"/>
    <tableColumn id="6" xr3:uid="{EEFBBC6F-CF8F-4FE8-BE3D-D91C8CABE912}" name="Label1"/>
    <tableColumn id="7" xr3:uid="{897E788E-D315-4E7E-A1AC-49820BBFB9A5}" name="Label2"/>
    <tableColumn id="8" xr3:uid="{E26B4312-7FC9-4579-A70A-7D924354D1F2}" name="Label3"/>
    <tableColumn id="9" xr3:uid="{79435CB7-831E-44F5-A8B0-E180CE994FB7}" name="ScriptTagD1" dataDxfId="1"/>
    <tableColumn id="11" xr3:uid="{2F71C9A4-AB72-4FDD-A6C5-F9EEF00C9FE2}" name="ScriptTagD2" dataDxfId="0">
      <calculatedColumnFormula>AwardDef[[#This Row],[ScriptTagD1]]&amp;"_D1"</calculatedColumnFormula>
    </tableColumn>
    <tableColumn id="12" xr3:uid="{7152FBBF-AE08-45A5-B19E-BDA2ED08288B}" name="ScriptTagNoDiv"/>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0C16-759B-4D97-9825-4887115BA2E4}">
  <dimension ref="A1:U17"/>
  <sheetViews>
    <sheetView workbookViewId="0">
      <selection activeCell="B11" sqref="B11"/>
    </sheetView>
  </sheetViews>
  <sheetFormatPr defaultRowHeight="15" x14ac:dyDescent="0.25"/>
  <cols>
    <col min="1" max="1" width="26.85546875" customWidth="1"/>
    <col min="2" max="2" width="14.42578125" customWidth="1"/>
    <col min="3" max="3" width="8.7109375" customWidth="1"/>
    <col min="4" max="4" width="11" customWidth="1"/>
    <col min="5" max="5" width="12.140625" customWidth="1"/>
    <col min="6" max="6" width="8.5703125" customWidth="1"/>
    <col min="7" max="7" width="11" customWidth="1"/>
    <col min="8" max="8" width="10.28515625" customWidth="1"/>
    <col min="9" max="9" width="14.140625" customWidth="1"/>
    <col min="10" max="10" width="11.42578125" customWidth="1"/>
    <col min="11" max="11" width="8" customWidth="1"/>
    <col min="12" max="12" width="11.42578125" customWidth="1"/>
    <col min="13" max="13" width="10.42578125" customWidth="1"/>
    <col min="14" max="14" width="12.7109375" customWidth="1"/>
    <col min="15" max="15" width="13.7109375" customWidth="1"/>
    <col min="16" max="16" width="9.28515625" customWidth="1"/>
    <col min="17" max="20" width="11.140625" customWidth="1"/>
  </cols>
  <sheetData>
    <row r="1" spans="1:21" x14ac:dyDescent="0.25">
      <c r="A1" s="1" t="s">
        <v>15</v>
      </c>
      <c r="B1" s="1" t="s">
        <v>26</v>
      </c>
      <c r="C1" s="1" t="s">
        <v>49</v>
      </c>
      <c r="D1" s="1" t="s">
        <v>27</v>
      </c>
      <c r="E1" s="1" t="s">
        <v>1</v>
      </c>
      <c r="F1" s="1" t="s">
        <v>2</v>
      </c>
      <c r="G1" s="1" t="s">
        <v>3</v>
      </c>
      <c r="H1" s="1" t="s">
        <v>4</v>
      </c>
      <c r="I1" s="1" t="s">
        <v>5</v>
      </c>
      <c r="J1" s="1" t="s">
        <v>28</v>
      </c>
      <c r="K1" s="1" t="s">
        <v>51</v>
      </c>
      <c r="L1" s="1" t="s">
        <v>29</v>
      </c>
      <c r="M1" s="1" t="s">
        <v>6</v>
      </c>
      <c r="N1" s="1" t="s">
        <v>8</v>
      </c>
      <c r="O1" s="1" t="s">
        <v>9</v>
      </c>
      <c r="P1" s="1" t="s">
        <v>7</v>
      </c>
      <c r="Q1" s="1" t="s">
        <v>10</v>
      </c>
      <c r="R1" s="1" t="s">
        <v>50</v>
      </c>
      <c r="S1" s="1" t="s">
        <v>52</v>
      </c>
      <c r="T1" s="1" t="s">
        <v>53</v>
      </c>
      <c r="U1" s="1" t="s">
        <v>47</v>
      </c>
    </row>
    <row r="2" spans="1:21" x14ac:dyDescent="0.25">
      <c r="A2" s="1" t="s">
        <v>37</v>
      </c>
      <c r="B2" s="1">
        <f>SUM(B3:B4)</f>
        <v>0</v>
      </c>
      <c r="C2" s="1">
        <f t="shared" ref="C2:Q2" si="0">SUM(C3:C4)</f>
        <v>0</v>
      </c>
      <c r="D2" s="1">
        <f t="shared" si="0"/>
        <v>0</v>
      </c>
      <c r="E2" s="1">
        <f t="shared" si="0"/>
        <v>0</v>
      </c>
      <c r="F2" s="1">
        <f t="shared" si="0"/>
        <v>0</v>
      </c>
      <c r="G2" s="1">
        <f t="shared" si="0"/>
        <v>0</v>
      </c>
      <c r="H2" s="1">
        <f t="shared" si="0"/>
        <v>0</v>
      </c>
      <c r="I2" s="1">
        <f t="shared" si="0"/>
        <v>0</v>
      </c>
      <c r="J2" s="1">
        <f t="shared" si="0"/>
        <v>0</v>
      </c>
      <c r="K2" s="1">
        <f t="shared" si="0"/>
        <v>0</v>
      </c>
      <c r="L2" s="1">
        <f t="shared" si="0"/>
        <v>0</v>
      </c>
      <c r="M2" s="1">
        <f t="shared" si="0"/>
        <v>0</v>
      </c>
      <c r="N2" s="1">
        <f t="shared" si="0"/>
        <v>0</v>
      </c>
      <c r="O2" s="1">
        <f t="shared" si="0"/>
        <v>0</v>
      </c>
      <c r="P2" s="1">
        <f t="shared" si="0"/>
        <v>0</v>
      </c>
      <c r="Q2" s="1">
        <f t="shared" si="0"/>
        <v>0</v>
      </c>
      <c r="R2" s="1">
        <f t="shared" ref="R2:S2" si="1">SUM(R3:R4)</f>
        <v>0</v>
      </c>
      <c r="S2" s="1">
        <f t="shared" si="1"/>
        <v>0</v>
      </c>
      <c r="T2" s="1">
        <f t="shared" ref="T2" si="2">SUM(T3:T4)</f>
        <v>0</v>
      </c>
      <c r="U2" s="1">
        <f t="shared" ref="U2" si="3">SUM(U3:U4)</f>
        <v>0</v>
      </c>
    </row>
    <row r="3" spans="1:21" x14ac:dyDescent="0.25">
      <c r="A3" s="1" t="s">
        <v>38</v>
      </c>
      <c r="B3" s="1">
        <f>COUNTIFS(Assignments[Short Name],B1,Assignments[Div],"D1")</f>
        <v>0</v>
      </c>
      <c r="C3" s="1">
        <f>COUNTIFS(Assignments[Short Name],C1,Assignments[Div],"D1")</f>
        <v>0</v>
      </c>
      <c r="D3" s="1">
        <f>COUNTIFS(Assignments[Short Name],D1,Assignments[Div],"D1")</f>
        <v>0</v>
      </c>
      <c r="E3" s="1">
        <f>COUNTIFS(Assignments[Short Name],E1,Assignments[Div],"D1")</f>
        <v>0</v>
      </c>
      <c r="F3" s="1">
        <f>COUNTIFS(Assignments[Short Name],F1,Assignments[Div],"D1")</f>
        <v>0</v>
      </c>
      <c r="G3" s="1">
        <f>COUNTIFS(Assignments[Short Name],G1,Assignments[Div],"D1")</f>
        <v>0</v>
      </c>
      <c r="H3" s="1">
        <f>COUNTIFS(Assignments[Short Name],H1,Assignments[Div],"D1")</f>
        <v>0</v>
      </c>
      <c r="I3" s="1">
        <f>COUNTIFS(Assignments[Short Name],I1,Assignments[Div],"D1")</f>
        <v>0</v>
      </c>
      <c r="J3" s="1">
        <f>COUNTIFS(Assignments[Short Name],J1,Assignments[Div],"D1")</f>
        <v>0</v>
      </c>
      <c r="K3" s="1">
        <f>COUNTIFS(Assignments[Short Name],K1,Assignments[Div],"D1")</f>
        <v>0</v>
      </c>
      <c r="L3" s="1">
        <f>COUNTIFS(Assignments[Short Name],L1,Assignments[Div],"D1")</f>
        <v>0</v>
      </c>
      <c r="M3" s="1">
        <f>COUNTIFS(Assignments[Short Name],M1,Assignments[Div],"D1")</f>
        <v>0</v>
      </c>
      <c r="N3" s="1">
        <f>COUNTIFS(Assignments[Short Name],N1,Assignments[Div],"D1")</f>
        <v>0</v>
      </c>
      <c r="O3" s="1">
        <f>COUNTIFS(Assignments[Short Name],O1,Assignments[Div],"D1")</f>
        <v>0</v>
      </c>
      <c r="P3" s="1">
        <f>COUNTIFS(Assignments[Short Name],P1,Assignments[Div],"D1")</f>
        <v>0</v>
      </c>
      <c r="Q3" s="1">
        <f>COUNTIFS(Assignments[Short Name],Q1,Assignments[Div],"D1")</f>
        <v>0</v>
      </c>
      <c r="R3" s="1">
        <f>COUNTIFS(Assignments[Short Name],R1,Assignments[Div],"D1")</f>
        <v>0</v>
      </c>
      <c r="S3" s="1">
        <f>COUNTIFS(Assignments[Short Name],S1,Assignments[Div],"D1")</f>
        <v>0</v>
      </c>
      <c r="T3" s="1">
        <f>COUNTIFS(Assignments[Short Name],T1,Assignments[Div],"D1")</f>
        <v>0</v>
      </c>
      <c r="U3" s="1">
        <f>COUNTIFS(Assignments[Short Name],U1,Assignments[Div],"D1")</f>
        <v>0</v>
      </c>
    </row>
    <row r="4" spans="1:21" x14ac:dyDescent="0.25">
      <c r="A4" s="1" t="s">
        <v>39</v>
      </c>
      <c r="B4" s="1">
        <f>COUNTIFS(Assignments[Short Name],B1,Assignments[Div],"D2")</f>
        <v>0</v>
      </c>
      <c r="C4" s="1">
        <f>COUNTIFS(Assignments[Short Name],C1,Assignments[Div],"D2")</f>
        <v>0</v>
      </c>
      <c r="D4" s="1">
        <f>COUNTIFS(Assignments[Short Name],D1,Assignments[Div],"D2")</f>
        <v>0</v>
      </c>
      <c r="E4" s="1">
        <f>COUNTIFS(Assignments[Short Name],E1,Assignments[Div],"D2")</f>
        <v>0</v>
      </c>
      <c r="F4" s="1">
        <f>COUNTIFS(Assignments[Short Name],F1,Assignments[Div],"D2")</f>
        <v>0</v>
      </c>
      <c r="G4" s="1">
        <f>COUNTIFS(Assignments[Short Name],G1,Assignments[Div],"D2")</f>
        <v>0</v>
      </c>
      <c r="H4" s="1">
        <f>COUNTIFS(Assignments[Short Name],H1,Assignments[Div],"D2")</f>
        <v>0</v>
      </c>
      <c r="I4" s="1">
        <f>COUNTIFS(Assignments[Short Name],I1,Assignments[Div],"D2")</f>
        <v>0</v>
      </c>
      <c r="J4" s="1">
        <f>COUNTIFS(Assignments[Short Name],J1,Assignments[Div],"D2")</f>
        <v>0</v>
      </c>
      <c r="K4" s="1">
        <f>COUNTIFS(Assignments[Short Name],K1,Assignments[Div],"D2")</f>
        <v>0</v>
      </c>
      <c r="L4" s="1">
        <f>COUNTIFS(Assignments[Short Name],L1,Assignments[Div],"D2")</f>
        <v>0</v>
      </c>
      <c r="M4" s="1">
        <f>COUNTIFS(Assignments[Short Name],M1,Assignments[Div],"D2")</f>
        <v>0</v>
      </c>
      <c r="N4" s="1">
        <f>COUNTIFS(Assignments[Short Name],N1,Assignments[Div],"D2")</f>
        <v>0</v>
      </c>
      <c r="O4" s="1">
        <f>COUNTIFS(Assignments[Short Name],O1,Assignments[Div],"D2")</f>
        <v>0</v>
      </c>
      <c r="P4" s="1">
        <f>COUNTIFS(Assignments[Short Name],P1,Assignments[Div],"D2")</f>
        <v>0</v>
      </c>
      <c r="Q4" s="1">
        <f>COUNTIFS(Assignments[Short Name],Q1,Assignments[Div],"D2")</f>
        <v>0</v>
      </c>
      <c r="R4" s="1">
        <f>COUNTIFS(Assignments[Short Name],R1,Assignments[Div],"D2")</f>
        <v>0</v>
      </c>
      <c r="S4" s="1">
        <f>COUNTIFS(Assignments[Short Name],S1,Assignments[Div],"D2")</f>
        <v>0</v>
      </c>
      <c r="T4" s="1">
        <f>COUNTIFS(Assignments[Short Name],T1,Assignments[Div],"D2")</f>
        <v>0</v>
      </c>
      <c r="U4" s="1">
        <f>COUNTIFS(Assignments[Short Name],U1,Assignments[Div],"D2")</f>
        <v>0</v>
      </c>
    </row>
    <row r="5" spans="1:21" x14ac:dyDescent="0.25">
      <c r="A5" s="1" t="s">
        <v>40</v>
      </c>
      <c r="B5" s="1" t="e">
        <f>VLOOKUP(Summary[[#Headers],[Newport_News]],TournamentList[],12,0)</f>
        <v>#N/A</v>
      </c>
      <c r="C5" s="1" t="e">
        <f>VLOOKUP(Summary[[#Headers],[Henrico_Godwin]],TournamentList[],12,0)</f>
        <v>#N/A</v>
      </c>
      <c r="D5" s="1" t="e">
        <f>VLOOKUP(Summary[[#Headers],[Glen_Allen]],TournamentList[],12,0)</f>
        <v>#N/A</v>
      </c>
      <c r="E5" s="1" t="e">
        <f>VLOOKUP(Summary[[#Headers],[Martinsville]],TournamentList[],12,0)</f>
        <v>#N/A</v>
      </c>
      <c r="F5" s="1" t="e">
        <f>VLOOKUP(Summary[[#Headers],[Norfolk]],TournamentList[],12,0)</f>
        <v>#N/A</v>
      </c>
      <c r="G5" s="1" t="e">
        <f>VLOOKUP(Summary[[#Headers],[Blacksburg]],TournamentList[],12,0)</f>
        <v>#N/A</v>
      </c>
      <c r="H5" s="1" t="e">
        <f>VLOOKUP(Summary[[#Headers],[Abingdon]],TournamentList[],12,0)</f>
        <v>#N/A</v>
      </c>
      <c r="I5" s="1" t="e">
        <f>VLOOKUP(Summary[[#Headers],[Charlottesville]],TournamentList[],12,0)</f>
        <v>#N/A</v>
      </c>
      <c r="J5" s="1" t="e">
        <f>VLOOKUP(Summary[[#Headers],[Manassas_1]],TournamentList[],12,0)</f>
        <v>#N/A</v>
      </c>
      <c r="K5" s="1" t="e">
        <f>VLOOKUP(Summary[[#Headers],[Chantilly]],TournamentList[],12,0)</f>
        <v>#N/A</v>
      </c>
      <c r="L5" s="1" t="e">
        <f>VLOOKUP(Summary[[#Headers],[Manassas_2]],TournamentList[],12,0)</f>
        <v>#N/A</v>
      </c>
      <c r="M5" s="1" t="e">
        <f>VLOOKUP(Summary[[#Headers],[Richmond]],TournamentList[],12,0)</f>
        <v>#N/A</v>
      </c>
      <c r="N5" s="1" t="e">
        <f>VLOOKUP(Summary[[#Headers],[DC-McKinley]],TournamentList[],12,0)</f>
        <v>#N/A</v>
      </c>
      <c r="O5" s="1" t="e">
        <f>VLOOKUP(Summary[[#Headers],[DC-Friendship]],TournamentList[],12,0)</f>
        <v>#N/A</v>
      </c>
      <c r="P5" s="1" t="e">
        <f>VLOOKUP(Summary[[#Headers],[Ashburn]],TournamentList[],12,0)</f>
        <v>#N/A</v>
      </c>
      <c r="Q5" s="1" t="e">
        <f>VLOOKUP(Summary[[#Headers],[Alexandria]],TournamentList[],12,0)</f>
        <v>#N/A</v>
      </c>
      <c r="R5" s="1" t="e">
        <f>VLOOKUP(Summary[[#Headers],[Henrico_Freeman]],TournamentList[],12,0)</f>
        <v>#N/A</v>
      </c>
      <c r="S5" s="1" t="e">
        <f>VLOOKUP(Summary[[#Headers],[Hayfield_1]],TournamentList[],12,0)</f>
        <v>#N/A</v>
      </c>
      <c r="T5" s="1" t="e">
        <f>VLOOKUP(Summary[[#Headers],[Hayfield_2]],TournamentList[],12,0)</f>
        <v>#N/A</v>
      </c>
      <c r="U5" s="1" t="e">
        <f>VLOOKUP(Summary[[#Headers],[Test]],TournamentList[],12,0)</f>
        <v>#N/A</v>
      </c>
    </row>
    <row r="6" spans="1:21" x14ac:dyDescent="0.25">
      <c r="A6" s="1" t="s">
        <v>41</v>
      </c>
      <c r="B6" s="1">
        <v>1</v>
      </c>
      <c r="C6" s="1">
        <v>1</v>
      </c>
      <c r="D6" s="1">
        <v>1</v>
      </c>
      <c r="E6" s="1">
        <v>1</v>
      </c>
      <c r="F6" s="1">
        <v>1</v>
      </c>
      <c r="G6" s="1">
        <v>1</v>
      </c>
      <c r="H6" s="1">
        <v>1</v>
      </c>
      <c r="I6" s="1">
        <v>1</v>
      </c>
      <c r="J6" s="1">
        <v>1</v>
      </c>
      <c r="K6" s="1">
        <v>1</v>
      </c>
      <c r="L6" s="1">
        <v>1</v>
      </c>
      <c r="M6" s="1">
        <v>1</v>
      </c>
      <c r="N6" s="1">
        <v>1</v>
      </c>
      <c r="O6" s="1">
        <v>1</v>
      </c>
      <c r="P6" s="1">
        <v>1</v>
      </c>
      <c r="Q6" s="1">
        <v>1</v>
      </c>
      <c r="R6" s="1">
        <v>1</v>
      </c>
      <c r="S6" s="1">
        <v>1</v>
      </c>
      <c r="T6" s="1">
        <v>1</v>
      </c>
      <c r="U6" s="1">
        <v>2</v>
      </c>
    </row>
    <row r="7" spans="1:21" x14ac:dyDescent="0.25">
      <c r="A7" s="1" t="s">
        <v>30</v>
      </c>
      <c r="B7" s="1" t="e" cm="1">
        <f t="array" ref="B7">_xlfn.XLOOKUP(Summary[[#Headers],[Newport_News]]&amp;"D1",#REF!,DivTournamentList[[J_AWD_Judges]:[J_AWD_Judges]])</f>
        <v>#REF!</v>
      </c>
      <c r="C7" s="1" t="e" cm="1">
        <f t="array" ref="C7">_xlfn.XLOOKUP(Summary[[#Headers],[Henrico_Godwin]]&amp;"D1",#REF!,DivTournamentList[[J_AWD_Judges]:[J_AWD_Judges]])</f>
        <v>#REF!</v>
      </c>
      <c r="D7" s="1" t="e" cm="1">
        <f t="array" ref="D7">_xlfn.XLOOKUP(Summary[[#Headers],[Glen_Allen]]&amp;"D1",#REF!,DivTournamentList[[J_AWD_Judges]:[J_AWD_Judges]])</f>
        <v>#REF!</v>
      </c>
      <c r="E7" s="1" t="e" cm="1">
        <f t="array" ref="E7">_xlfn.XLOOKUP(Summary[[#Headers],[Martinsville]]&amp;"D1",#REF!,DivTournamentList[[J_AWD_Judges]:[J_AWD_Judges]])</f>
        <v>#REF!</v>
      </c>
      <c r="F7" s="1" t="e" cm="1">
        <f t="array" ref="F7">_xlfn.XLOOKUP(Summary[[#Headers],[Norfolk]]&amp;"D1",#REF!,DivTournamentList[[J_AWD_Judges]:[J_AWD_Judges]])</f>
        <v>#REF!</v>
      </c>
      <c r="G7" s="1" t="e" cm="1">
        <f t="array" ref="G7">_xlfn.XLOOKUP(Summary[[#Headers],[Blacksburg]]&amp;"D1",#REF!,DivTournamentList[[J_AWD_Judges]:[J_AWD_Judges]])</f>
        <v>#REF!</v>
      </c>
      <c r="H7" s="1" t="e" cm="1">
        <f t="array" ref="H7">_xlfn.XLOOKUP(Summary[[#Headers],[Abingdon]]&amp;"D1",#REF!,DivTournamentList[[J_AWD_Judges]:[J_AWD_Judges]])</f>
        <v>#REF!</v>
      </c>
      <c r="I7" s="1" t="e" cm="1">
        <f t="array" ref="I7">_xlfn.XLOOKUP(Summary[[#Headers],[Charlottesville]]&amp;"D1",#REF!,DivTournamentList[[J_AWD_Judges]:[J_AWD_Judges]])</f>
        <v>#REF!</v>
      </c>
      <c r="J7" s="1" t="e" cm="1">
        <f t="array" ref="J7">_xlfn.XLOOKUP(Summary[[#Headers],[Manassas_1]]&amp;"D1",#REF!,DivTournamentList[[J_AWD_Judges]:[J_AWD_Judges]])</f>
        <v>#REF!</v>
      </c>
      <c r="K7" s="1" t="e" cm="1">
        <f t="array" ref="K7">_xlfn.XLOOKUP(Summary[[#Headers],[Chantilly]]&amp;"D1",#REF!,DivTournamentList[[J_AWD_Judges]:[J_AWD_Judges]])</f>
        <v>#REF!</v>
      </c>
      <c r="L7" s="1" t="e" cm="1">
        <f t="array" ref="L7">_xlfn.XLOOKUP(Summary[[#Headers],[Manassas_2]]&amp;"D1",#REF!,DivTournamentList[[J_AWD_Judges]:[J_AWD_Judges]])</f>
        <v>#REF!</v>
      </c>
      <c r="M7" s="1" t="e" cm="1">
        <f t="array" ref="M7">_xlfn.XLOOKUP(Summary[[#Headers],[Richmond]]&amp;"D1",#REF!,DivTournamentList[[J_AWD_Judges]:[J_AWD_Judges]])</f>
        <v>#REF!</v>
      </c>
      <c r="N7" s="1" t="e" cm="1">
        <f t="array" ref="N7">_xlfn.XLOOKUP(Summary[[#Headers],[DC-McKinley]]&amp;"D1",#REF!,DivTournamentList[[J_AWD_Judges]:[J_AWD_Judges]])</f>
        <v>#REF!</v>
      </c>
      <c r="O7" s="1" t="e" cm="1">
        <f t="array" ref="O7">_xlfn.XLOOKUP(Summary[[#Headers],[DC-Friendship]]&amp;"D1",#REF!,DivTournamentList[[J_AWD_Judges]:[J_AWD_Judges]])</f>
        <v>#REF!</v>
      </c>
      <c r="P7" s="1" t="e" cm="1">
        <f t="array" ref="P7">_xlfn.XLOOKUP(Summary[[#Headers],[Ashburn]]&amp;"D1",#REF!,DivTournamentList[[J_AWD_Judges]:[J_AWD_Judges]])</f>
        <v>#REF!</v>
      </c>
      <c r="Q7" s="1" t="e" cm="1">
        <f t="array" ref="Q7">_xlfn.XLOOKUP(Summary[[#Headers],[Alexandria]]&amp;"D1",#REF!,DivTournamentList[[J_AWD_Judges]:[J_AWD_Judges]])</f>
        <v>#REF!</v>
      </c>
      <c r="R7" s="1" t="e" cm="1">
        <f t="array" ref="R7">_xlfn.XLOOKUP(Summary[[#Headers],[Henrico_Freeman]]&amp;"D1",#REF!,DivTournamentList[[J_AWD_Judges]:[J_AWD_Judges]])</f>
        <v>#REF!</v>
      </c>
      <c r="S7" s="1" t="e" cm="1">
        <f t="array" ref="S7">_xlfn.XLOOKUP(Summary[[#Headers],[Hayfield_1]]&amp;"D1",#REF!,DivTournamentList[[J_AWD_Judges]:[J_AWD_Judges]])</f>
        <v>#REF!</v>
      </c>
      <c r="T7" s="1" t="e" cm="1">
        <f t="array" ref="T7">_xlfn.XLOOKUP(Summary[[#Headers],[Hayfield_2]]&amp;"D1",#REF!,DivTournamentList[[J_AWD_Judges]:[J_AWD_Judges]])</f>
        <v>#REF!</v>
      </c>
      <c r="U7" s="1" t="e" cm="1">
        <f t="array" ref="U7">_xlfn.XLOOKUP(Summary[[#Headers],[Test]]&amp;"D1",#REF!,DivTournamentList[[J_AWD_Judges]:[J_AWD_Judges]])</f>
        <v>#REF!</v>
      </c>
    </row>
    <row r="8" spans="1:21" x14ac:dyDescent="0.25">
      <c r="A8" s="1" t="s">
        <v>31</v>
      </c>
      <c r="B8" s="1" t="e" cm="1">
        <f t="array" ref="B8">_xlfn.XLOOKUP(Summary[[#Headers],[Newport_News]]&amp;"D2",#REF!,DivTournamentList[[J_AWD_Judges]:[J_AWD_Judges]])</f>
        <v>#REF!</v>
      </c>
      <c r="C8" s="1" t="e" cm="1">
        <f t="array" ref="C8">_xlfn.XLOOKUP(Summary[[#Headers],[Henrico_Godwin]]&amp;"D2",#REF!,DivTournamentList[[J_AWD_Judges]:[J_AWD_Judges]])</f>
        <v>#REF!</v>
      </c>
      <c r="D8" s="1" t="e" cm="1">
        <f t="array" ref="D8">_xlfn.XLOOKUP(Summary[[#Headers],[Glen_Allen]]&amp;"D2",#REF!,DivTournamentList[[J_AWD_Judges]:[J_AWD_Judges]])</f>
        <v>#REF!</v>
      </c>
      <c r="E8" s="1" t="e" cm="1">
        <f t="array" ref="E8">_xlfn.XLOOKUP(Summary[[#Headers],[Martinsville]]&amp;"D2",#REF!,DivTournamentList[[J_AWD_Judges]:[J_AWD_Judges]])</f>
        <v>#REF!</v>
      </c>
      <c r="F8" s="1" t="e" cm="1">
        <f t="array" ref="F8">_xlfn.XLOOKUP(Summary[[#Headers],[Norfolk]]&amp;"D2",#REF!,DivTournamentList[[J_AWD_Judges]:[J_AWD_Judges]])</f>
        <v>#REF!</v>
      </c>
      <c r="G8" s="1" t="e" cm="1">
        <f t="array" ref="G8">_xlfn.XLOOKUP(Summary[[#Headers],[Blacksburg]]&amp;"D2",#REF!,DivTournamentList[[J_AWD_Judges]:[J_AWD_Judges]])</f>
        <v>#REF!</v>
      </c>
      <c r="H8" s="1" t="e" cm="1">
        <f t="array" ref="H8">_xlfn.XLOOKUP(Summary[[#Headers],[Abingdon]]&amp;"D2",#REF!,DivTournamentList[[J_AWD_Judges]:[J_AWD_Judges]])</f>
        <v>#REF!</v>
      </c>
      <c r="I8" s="1" t="e" cm="1">
        <f t="array" ref="I8">_xlfn.XLOOKUP(Summary[[#Headers],[Charlottesville]]&amp;"D2",#REF!,DivTournamentList[[J_AWD_Judges]:[J_AWD_Judges]])</f>
        <v>#REF!</v>
      </c>
      <c r="J8" s="1" t="e" cm="1">
        <f t="array" ref="J8">_xlfn.XLOOKUP(Summary[[#Headers],[Manassas_1]]&amp;"D2",#REF!,DivTournamentList[[J_AWD_Judges]:[J_AWD_Judges]])</f>
        <v>#REF!</v>
      </c>
      <c r="K8" s="1" t="e" cm="1">
        <f t="array" ref="K8">_xlfn.XLOOKUP(Summary[[#Headers],[Chantilly]]&amp;"D2",#REF!,DivTournamentList[[J_AWD_Judges]:[J_AWD_Judges]])</f>
        <v>#REF!</v>
      </c>
      <c r="L8" s="1" t="e" cm="1">
        <f t="array" ref="L8">_xlfn.XLOOKUP(Summary[[#Headers],[Manassas_2]]&amp;"D2",#REF!,DivTournamentList[[J_AWD_Judges]:[J_AWD_Judges]])</f>
        <v>#REF!</v>
      </c>
      <c r="M8" s="1" t="e" cm="1">
        <f t="array" ref="M8">_xlfn.XLOOKUP(Summary[[#Headers],[Richmond]]&amp;"D2",#REF!,DivTournamentList[[J_AWD_Judges]:[J_AWD_Judges]])</f>
        <v>#REF!</v>
      </c>
      <c r="N8" s="1" t="e" cm="1">
        <f t="array" ref="N8">_xlfn.XLOOKUP(Summary[[#Headers],[DC-McKinley]]&amp;"D2",#REF!,DivTournamentList[[J_AWD_Judges]:[J_AWD_Judges]])</f>
        <v>#REF!</v>
      </c>
      <c r="O8" s="1" t="e" cm="1">
        <f t="array" ref="O8">_xlfn.XLOOKUP(Summary[[#Headers],[DC-Friendship]]&amp;"D2",#REF!,DivTournamentList[[J_AWD_Judges]:[J_AWD_Judges]])</f>
        <v>#REF!</v>
      </c>
      <c r="P8" s="1" t="e" cm="1">
        <f t="array" ref="P8">_xlfn.XLOOKUP(Summary[[#Headers],[Ashburn]]&amp;"D2",#REF!,DivTournamentList[[J_AWD_Judges]:[J_AWD_Judges]])</f>
        <v>#REF!</v>
      </c>
      <c r="Q8" s="1" t="e" cm="1">
        <f t="array" ref="Q8">_xlfn.XLOOKUP(Summary[[#Headers],[Alexandria]]&amp;"D2",#REF!,DivTournamentList[[J_AWD_Judges]:[J_AWD_Judges]])</f>
        <v>#REF!</v>
      </c>
      <c r="R8" s="1" t="e" cm="1">
        <f t="array" ref="R8">_xlfn.XLOOKUP(Summary[[#Headers],[Henrico_Freeman]]&amp;"D2",#REF!,DivTournamentList[[J_AWD_Judges]:[J_AWD_Judges]])</f>
        <v>#REF!</v>
      </c>
      <c r="S8" s="1" t="e" cm="1">
        <f t="array" ref="S8">_xlfn.XLOOKUP(Summary[[#Headers],[Hayfield_1]]&amp;"D2",#REF!,DivTournamentList[[J_AWD_Judges]:[J_AWD_Judges]])</f>
        <v>#REF!</v>
      </c>
      <c r="T8" s="1" t="e" cm="1">
        <f t="array" ref="T8">_xlfn.XLOOKUP(Summary[[#Headers],[Hayfield_2]]&amp;"D2",#REF!,DivTournamentList[[J_AWD_Judges]:[J_AWD_Judges]])</f>
        <v>#REF!</v>
      </c>
      <c r="U8" s="1" t="e" cm="1">
        <f t="array" ref="U8">_xlfn.XLOOKUP(Summary[[#Headers],[Test]]&amp;"D2",#REF!,DivTournamentList[[J_AWD_Judges]:[J_AWD_Judges]])</f>
        <v>#REF!</v>
      </c>
    </row>
    <row r="9" spans="1:21" x14ac:dyDescent="0.25">
      <c r="A9" s="1" t="s">
        <v>32</v>
      </c>
      <c r="B9" s="1" t="e" cm="1">
        <f t="array" ref="B9">_xlfn.XLOOKUP(Summary[[#Headers],[Newport_News]]&amp;"D1",#REF!,DivTournamentList[[P_AWD_RG]:[P_AWD_RG]])</f>
        <v>#REF!</v>
      </c>
      <c r="C9" s="1" t="e" cm="1">
        <f t="array" ref="C9">_xlfn.XLOOKUP(Summary[[#Headers],[Henrico_Godwin]]&amp;"D1",#REF!,DivTournamentList[[P_AWD_RG]:[P_AWD_RG]])</f>
        <v>#REF!</v>
      </c>
      <c r="D9" s="1" t="e" cm="1">
        <f t="array" ref="D9">_xlfn.XLOOKUP(Summary[[#Headers],[Glen_Allen]]&amp;"D1",#REF!,DivTournamentList[[P_AWD_RG]:[P_AWD_RG]])</f>
        <v>#REF!</v>
      </c>
      <c r="E9" s="1" t="e" cm="1">
        <f t="array" ref="E9">_xlfn.XLOOKUP(Summary[[#Headers],[Martinsville]]&amp;"D1",#REF!,DivTournamentList[[P_AWD_RG]:[P_AWD_RG]])</f>
        <v>#REF!</v>
      </c>
      <c r="F9" s="1" t="e" cm="1">
        <f t="array" ref="F9">_xlfn.XLOOKUP(Summary[[#Headers],[Norfolk]]&amp;"D1",#REF!,DivTournamentList[[P_AWD_RG]:[P_AWD_RG]])</f>
        <v>#REF!</v>
      </c>
      <c r="G9" s="1" t="e" cm="1">
        <f t="array" ref="G9">_xlfn.XLOOKUP(Summary[[#Headers],[Blacksburg]]&amp;"D1",#REF!,DivTournamentList[[P_AWD_RG]:[P_AWD_RG]])</f>
        <v>#REF!</v>
      </c>
      <c r="H9" s="1" t="e" cm="1">
        <f t="array" ref="H9">_xlfn.XLOOKUP(Summary[[#Headers],[Abingdon]]&amp;"D1",#REF!,DivTournamentList[[P_AWD_RG]:[P_AWD_RG]])</f>
        <v>#REF!</v>
      </c>
      <c r="I9" s="1" t="e" cm="1">
        <f t="array" ref="I9">_xlfn.XLOOKUP(Summary[[#Headers],[Charlottesville]]&amp;"D1",#REF!,DivTournamentList[[P_AWD_RG]:[P_AWD_RG]])</f>
        <v>#REF!</v>
      </c>
      <c r="J9" s="1" t="e" cm="1">
        <f t="array" ref="J9">_xlfn.XLOOKUP(Summary[[#Headers],[Manassas_1]]&amp;"D1",#REF!,DivTournamentList[[P_AWD_RG]:[P_AWD_RG]])</f>
        <v>#REF!</v>
      </c>
      <c r="K9" s="1" t="e" cm="1">
        <f t="array" ref="K9">_xlfn.XLOOKUP(Summary[[#Headers],[Chantilly]]&amp;"D1",#REF!,DivTournamentList[[P_AWD_RG]:[P_AWD_RG]])</f>
        <v>#REF!</v>
      </c>
      <c r="L9" s="1" t="e" cm="1">
        <f t="array" ref="L9">_xlfn.XLOOKUP(Summary[[#Headers],[Manassas_2]]&amp;"D1",#REF!,DivTournamentList[[P_AWD_RG]:[P_AWD_RG]])</f>
        <v>#REF!</v>
      </c>
      <c r="M9" s="1" t="e" cm="1">
        <f t="array" ref="M9">_xlfn.XLOOKUP(Summary[[#Headers],[Richmond]]&amp;"D1",#REF!,DivTournamentList[[P_AWD_RG]:[P_AWD_RG]])</f>
        <v>#REF!</v>
      </c>
      <c r="N9" s="1" t="e" cm="1">
        <f t="array" ref="N9">_xlfn.XLOOKUP(Summary[[#Headers],[DC-McKinley]]&amp;"D1",#REF!,DivTournamentList[[P_AWD_RG]:[P_AWD_RG]])</f>
        <v>#REF!</v>
      </c>
      <c r="O9" s="1" t="e" cm="1">
        <f t="array" ref="O9">_xlfn.XLOOKUP(Summary[[#Headers],[DC-Friendship]]&amp;"D1",#REF!,DivTournamentList[[P_AWD_RG]:[P_AWD_RG]])</f>
        <v>#REF!</v>
      </c>
      <c r="P9" s="1" t="e" cm="1">
        <f t="array" ref="P9">_xlfn.XLOOKUP(Summary[[#Headers],[Ashburn]]&amp;"D1",#REF!,DivTournamentList[[P_AWD_RG]:[P_AWD_RG]])</f>
        <v>#REF!</v>
      </c>
      <c r="Q9" s="1" t="e" cm="1">
        <f t="array" ref="Q9">_xlfn.XLOOKUP(Summary[[#Headers],[Alexandria]]&amp;"D1",#REF!,DivTournamentList[[P_AWD_RG]:[P_AWD_RG]])</f>
        <v>#REF!</v>
      </c>
      <c r="R9" s="1" t="e" cm="1">
        <f t="array" ref="R9">_xlfn.XLOOKUP(Summary[[#Headers],[Henrico_Freeman]]&amp;"D1",#REF!,DivTournamentList[[P_AWD_RG]:[P_AWD_RG]])</f>
        <v>#REF!</v>
      </c>
      <c r="S9" s="1" t="e" cm="1">
        <f t="array" ref="S9">_xlfn.XLOOKUP(Summary[[#Headers],[Hayfield_1]]&amp;"D1",#REF!,DivTournamentList[[P_AWD_RG]:[P_AWD_RG]])</f>
        <v>#REF!</v>
      </c>
      <c r="T9" s="1" t="e" cm="1">
        <f t="array" ref="T9">_xlfn.XLOOKUP(Summary[[#Headers],[Hayfield_2]]&amp;"D1",#REF!,DivTournamentList[[P_AWD_RG]:[P_AWD_RG]])</f>
        <v>#REF!</v>
      </c>
      <c r="U9" s="1" t="e" cm="1">
        <f t="array" ref="U9">_xlfn.XLOOKUP(Summary[[#Headers],[Test]]&amp;"D1",#REF!,DivTournamentList[[P_AWD_RG]:[P_AWD_RG]])</f>
        <v>#REF!</v>
      </c>
    </row>
    <row r="10" spans="1:21" x14ac:dyDescent="0.25">
      <c r="A10" s="1" t="s">
        <v>33</v>
      </c>
      <c r="B10" s="1" t="e" cm="1">
        <f t="array" ref="B10">_xlfn.XLOOKUP(Summary[[#Headers],[Newport_News]]&amp;"D2",#REF!,DivTournamentList[[P_AWD_RG]:[P_AWD_RG]])</f>
        <v>#REF!</v>
      </c>
      <c r="C10" s="1" t="e" cm="1">
        <f t="array" ref="C10">_xlfn.XLOOKUP(Summary[[#Headers],[Henrico_Godwin]]&amp;"D2",#REF!,DivTournamentList[[P_AWD_RG]:[P_AWD_RG]])</f>
        <v>#REF!</v>
      </c>
      <c r="D10" s="1" t="e" cm="1">
        <f t="array" ref="D10">_xlfn.XLOOKUP(Summary[[#Headers],[Glen_Allen]]&amp;"D2",#REF!,DivTournamentList[[P_AWD_RG]:[P_AWD_RG]])</f>
        <v>#REF!</v>
      </c>
      <c r="E10" s="1" t="e" cm="1">
        <f t="array" ref="E10">_xlfn.XLOOKUP(Summary[[#Headers],[Martinsville]]&amp;"D2",#REF!,DivTournamentList[[P_AWD_RG]:[P_AWD_RG]])</f>
        <v>#REF!</v>
      </c>
      <c r="F10" s="1" t="e" cm="1">
        <f t="array" ref="F10">_xlfn.XLOOKUP(Summary[[#Headers],[Norfolk]]&amp;"D2",#REF!,DivTournamentList[[P_AWD_RG]:[P_AWD_RG]])</f>
        <v>#REF!</v>
      </c>
      <c r="G10" s="1" t="e" cm="1">
        <f t="array" ref="G10">_xlfn.XLOOKUP(Summary[[#Headers],[Blacksburg]]&amp;"D2",#REF!,DivTournamentList[[P_AWD_RG]:[P_AWD_RG]])</f>
        <v>#REF!</v>
      </c>
      <c r="H10" s="1" t="e" cm="1">
        <f t="array" ref="H10">_xlfn.XLOOKUP(Summary[[#Headers],[Abingdon]]&amp;"D2",#REF!,DivTournamentList[[P_AWD_RG]:[P_AWD_RG]])</f>
        <v>#REF!</v>
      </c>
      <c r="I10" s="1" t="e" cm="1">
        <f t="array" ref="I10">_xlfn.XLOOKUP(Summary[[#Headers],[Charlottesville]]&amp;"D2",#REF!,DivTournamentList[[P_AWD_RG]:[P_AWD_RG]])</f>
        <v>#REF!</v>
      </c>
      <c r="J10" s="1" t="e" cm="1">
        <f t="array" ref="J10">_xlfn.XLOOKUP(Summary[[#Headers],[Manassas_1]]&amp;"D2",#REF!,DivTournamentList[[P_AWD_RG]:[P_AWD_RG]])</f>
        <v>#REF!</v>
      </c>
      <c r="K10" s="1" t="e" cm="1">
        <f t="array" ref="K10">_xlfn.XLOOKUP(Summary[[#Headers],[Chantilly]]&amp;"D2",#REF!,DivTournamentList[[P_AWD_RG]:[P_AWD_RG]])</f>
        <v>#REF!</v>
      </c>
      <c r="L10" s="1" t="e" cm="1">
        <f t="array" ref="L10">_xlfn.XLOOKUP(Summary[[#Headers],[Manassas_2]]&amp;"D2",#REF!,DivTournamentList[[P_AWD_RG]:[P_AWD_RG]])</f>
        <v>#REF!</v>
      </c>
      <c r="M10" s="1" t="e" cm="1">
        <f t="array" ref="M10">_xlfn.XLOOKUP(Summary[[#Headers],[Richmond]]&amp;"D2",#REF!,DivTournamentList[[P_AWD_RG]:[P_AWD_RG]])</f>
        <v>#REF!</v>
      </c>
      <c r="N10" s="1" t="e" cm="1">
        <f t="array" ref="N10">_xlfn.XLOOKUP(Summary[[#Headers],[DC-McKinley]]&amp;"D2",#REF!,DivTournamentList[[P_AWD_RG]:[P_AWD_RG]])</f>
        <v>#REF!</v>
      </c>
      <c r="O10" s="1" t="e" cm="1">
        <f t="array" ref="O10">_xlfn.XLOOKUP(Summary[[#Headers],[DC-Friendship]]&amp;"D2",#REF!,DivTournamentList[[P_AWD_RG]:[P_AWD_RG]])</f>
        <v>#REF!</v>
      </c>
      <c r="P10" s="1" t="e" cm="1">
        <f t="array" ref="P10">_xlfn.XLOOKUP(Summary[[#Headers],[Ashburn]]&amp;"D2",#REF!,DivTournamentList[[P_AWD_RG]:[P_AWD_RG]])</f>
        <v>#REF!</v>
      </c>
      <c r="Q10" s="1" t="e" cm="1">
        <f t="array" ref="Q10">_xlfn.XLOOKUP(Summary[[#Headers],[Alexandria]]&amp;"D2",#REF!,DivTournamentList[[P_AWD_RG]:[P_AWD_RG]])</f>
        <v>#REF!</v>
      </c>
      <c r="R10" s="1" t="e" cm="1">
        <f t="array" ref="R10">_xlfn.XLOOKUP(Summary[[#Headers],[Henrico_Freeman]]&amp;"D2",#REF!,DivTournamentList[[P_AWD_RG]:[P_AWD_RG]])</f>
        <v>#REF!</v>
      </c>
      <c r="S10" s="1" t="e" cm="1">
        <f t="array" ref="S10">_xlfn.XLOOKUP(Summary[[#Headers],[Hayfield_1]]&amp;"D2",#REF!,DivTournamentList[[P_AWD_RG]:[P_AWD_RG]])</f>
        <v>#REF!</v>
      </c>
      <c r="T10" s="1" t="e" cm="1">
        <f t="array" ref="T10">_xlfn.XLOOKUP(Summary[[#Headers],[Hayfield_2]]&amp;"D2",#REF!,DivTournamentList[[P_AWD_RG]:[P_AWD_RG]])</f>
        <v>#REF!</v>
      </c>
      <c r="U10" s="1" t="e" cm="1">
        <f t="array" ref="U10">_xlfn.XLOOKUP(Summary[[#Headers],[Test]]&amp;"D2",#REF!,DivTournamentList[[P_AWD_RG]:[P_AWD_RG]])</f>
        <v>#REF!</v>
      </c>
    </row>
    <row r="11" spans="1:21" x14ac:dyDescent="0.25">
      <c r="A11" s="1" t="s">
        <v>35</v>
      </c>
      <c r="B11" s="1" t="e">
        <f>B7+B9</f>
        <v>#REF!</v>
      </c>
      <c r="C11" s="1" t="e">
        <f t="shared" ref="C11:Q11" si="4">C7+C9</f>
        <v>#REF!</v>
      </c>
      <c r="D11" s="1" t="e">
        <f t="shared" si="4"/>
        <v>#REF!</v>
      </c>
      <c r="E11" s="1" t="e">
        <f t="shared" si="4"/>
        <v>#REF!</v>
      </c>
      <c r="F11" s="1" t="e">
        <f t="shared" si="4"/>
        <v>#REF!</v>
      </c>
      <c r="G11" s="1" t="e">
        <f t="shared" si="4"/>
        <v>#REF!</v>
      </c>
      <c r="H11" s="1" t="e">
        <f t="shared" si="4"/>
        <v>#REF!</v>
      </c>
      <c r="I11" s="1" t="e">
        <f t="shared" si="4"/>
        <v>#REF!</v>
      </c>
      <c r="J11" s="1" t="e">
        <f t="shared" si="4"/>
        <v>#REF!</v>
      </c>
      <c r="K11" s="1" t="e">
        <f t="shared" si="4"/>
        <v>#REF!</v>
      </c>
      <c r="L11" s="1" t="e">
        <f t="shared" si="4"/>
        <v>#REF!</v>
      </c>
      <c r="M11" s="1" t="e">
        <f t="shared" si="4"/>
        <v>#REF!</v>
      </c>
      <c r="N11" s="1" t="e">
        <f t="shared" si="4"/>
        <v>#REF!</v>
      </c>
      <c r="O11" s="1" t="e">
        <f t="shared" si="4"/>
        <v>#REF!</v>
      </c>
      <c r="P11" s="1" t="e">
        <f t="shared" si="4"/>
        <v>#REF!</v>
      </c>
      <c r="Q11" s="1" t="e">
        <f t="shared" si="4"/>
        <v>#REF!</v>
      </c>
      <c r="R11" s="1" t="e">
        <f t="shared" ref="R11:S11" si="5">R7+R9</f>
        <v>#REF!</v>
      </c>
      <c r="S11" s="1" t="e">
        <f t="shared" si="5"/>
        <v>#REF!</v>
      </c>
      <c r="T11" s="1" t="e">
        <f t="shared" ref="T11" si="6">T7+T9</f>
        <v>#REF!</v>
      </c>
      <c r="U11" s="1" t="e">
        <f t="shared" ref="U11" si="7">U7+U9</f>
        <v>#REF!</v>
      </c>
    </row>
    <row r="12" spans="1:21" x14ac:dyDescent="0.25">
      <c r="A12" s="1" t="s">
        <v>36</v>
      </c>
      <c r="B12" s="1" t="e">
        <f>B8+B10</f>
        <v>#REF!</v>
      </c>
      <c r="C12" s="1" t="e">
        <f t="shared" ref="C12:Q12" si="8">C8+C10</f>
        <v>#REF!</v>
      </c>
      <c r="D12" s="1" t="e">
        <f t="shared" si="8"/>
        <v>#REF!</v>
      </c>
      <c r="E12" s="1" t="e">
        <f t="shared" si="8"/>
        <v>#REF!</v>
      </c>
      <c r="F12" s="1" t="e">
        <f t="shared" si="8"/>
        <v>#REF!</v>
      </c>
      <c r="G12" s="1" t="e">
        <f t="shared" si="8"/>
        <v>#REF!</v>
      </c>
      <c r="H12" s="1" t="e">
        <f t="shared" si="8"/>
        <v>#REF!</v>
      </c>
      <c r="I12" s="1" t="e">
        <f t="shared" si="8"/>
        <v>#REF!</v>
      </c>
      <c r="J12" s="1" t="e">
        <f t="shared" si="8"/>
        <v>#REF!</v>
      </c>
      <c r="K12" s="1" t="e">
        <f t="shared" si="8"/>
        <v>#REF!</v>
      </c>
      <c r="L12" s="1" t="e">
        <f t="shared" si="8"/>
        <v>#REF!</v>
      </c>
      <c r="M12" s="1" t="e">
        <f t="shared" si="8"/>
        <v>#REF!</v>
      </c>
      <c r="N12" s="1" t="e">
        <f t="shared" si="8"/>
        <v>#REF!</v>
      </c>
      <c r="O12" s="1" t="e">
        <f t="shared" si="8"/>
        <v>#REF!</v>
      </c>
      <c r="P12" s="1" t="e">
        <f t="shared" si="8"/>
        <v>#REF!</v>
      </c>
      <c r="Q12" s="1" t="e">
        <f t="shared" si="8"/>
        <v>#REF!</v>
      </c>
      <c r="R12" s="1" t="e">
        <f t="shared" ref="R12:S12" si="9">R8+R10</f>
        <v>#REF!</v>
      </c>
      <c r="S12" s="1" t="e">
        <f t="shared" si="9"/>
        <v>#REF!</v>
      </c>
      <c r="T12" s="1" t="e">
        <f t="shared" ref="T12" si="10">T8+T10</f>
        <v>#REF!</v>
      </c>
      <c r="U12" s="1" t="e">
        <f t="shared" ref="U12" si="11">U8+U10</f>
        <v>#REF!</v>
      </c>
    </row>
    <row r="13" spans="1:21" x14ac:dyDescent="0.25">
      <c r="A13" s="1" t="s">
        <v>44</v>
      </c>
      <c r="B13" s="1" t="e">
        <f>B5+B6+B11+B12</f>
        <v>#N/A</v>
      </c>
      <c r="C13" s="1" t="e">
        <f t="shared" ref="C13:Q13" si="12">C5+C6+C11+C12</f>
        <v>#N/A</v>
      </c>
      <c r="D13" s="1" t="e">
        <f t="shared" si="12"/>
        <v>#N/A</v>
      </c>
      <c r="E13" s="1" t="e">
        <f t="shared" si="12"/>
        <v>#N/A</v>
      </c>
      <c r="F13" s="1" t="e">
        <f t="shared" si="12"/>
        <v>#N/A</v>
      </c>
      <c r="G13" s="1" t="e">
        <f t="shared" si="12"/>
        <v>#N/A</v>
      </c>
      <c r="H13" s="1" t="e">
        <f t="shared" si="12"/>
        <v>#N/A</v>
      </c>
      <c r="I13" s="1" t="e">
        <f t="shared" si="12"/>
        <v>#N/A</v>
      </c>
      <c r="J13" s="1" t="e">
        <f t="shared" si="12"/>
        <v>#N/A</v>
      </c>
      <c r="K13" s="1" t="e">
        <f t="shared" si="12"/>
        <v>#N/A</v>
      </c>
      <c r="L13" s="1" t="e">
        <f t="shared" si="12"/>
        <v>#N/A</v>
      </c>
      <c r="M13" s="1" t="e">
        <f t="shared" si="12"/>
        <v>#N/A</v>
      </c>
      <c r="N13" s="1" t="e">
        <f t="shared" si="12"/>
        <v>#N/A</v>
      </c>
      <c r="O13" s="1" t="e">
        <f t="shared" si="12"/>
        <v>#N/A</v>
      </c>
      <c r="P13" s="1" t="e">
        <f t="shared" si="12"/>
        <v>#N/A</v>
      </c>
      <c r="Q13" s="1" t="e">
        <f t="shared" si="12"/>
        <v>#N/A</v>
      </c>
      <c r="R13" s="1" t="e">
        <f t="shared" ref="R13:S13" si="13">R5+R6+R11+R12</f>
        <v>#N/A</v>
      </c>
      <c r="S13" s="1" t="e">
        <f t="shared" si="13"/>
        <v>#N/A</v>
      </c>
      <c r="T13" s="1" t="e">
        <f t="shared" ref="T13" si="14">T5+T6+T11+T12</f>
        <v>#N/A</v>
      </c>
      <c r="U13" s="1" t="e">
        <f t="shared" ref="U13" si="15">U5+U6+U11+U12</f>
        <v>#N/A</v>
      </c>
    </row>
    <row r="14" spans="1:21" x14ac:dyDescent="0.25">
      <c r="A14" s="1" t="s">
        <v>34</v>
      </c>
      <c r="B14" s="2" t="e">
        <f>(B5+B7+B8)/B2</f>
        <v>#N/A</v>
      </c>
      <c r="C14" s="2" t="e">
        <f t="shared" ref="C14:Q14" si="16">(C5+C7+C8)/C2</f>
        <v>#N/A</v>
      </c>
      <c r="D14" s="2" t="e">
        <f t="shared" si="16"/>
        <v>#N/A</v>
      </c>
      <c r="E14" s="2" t="e">
        <f t="shared" si="16"/>
        <v>#N/A</v>
      </c>
      <c r="F14" s="2" t="e">
        <f t="shared" si="16"/>
        <v>#N/A</v>
      </c>
      <c r="G14" s="2" t="e">
        <f t="shared" si="16"/>
        <v>#N/A</v>
      </c>
      <c r="H14" s="2" t="e">
        <f t="shared" si="16"/>
        <v>#N/A</v>
      </c>
      <c r="I14" s="2" t="e">
        <f t="shared" si="16"/>
        <v>#N/A</v>
      </c>
      <c r="J14" s="2" t="e">
        <f t="shared" si="16"/>
        <v>#N/A</v>
      </c>
      <c r="K14" s="2" t="e">
        <f t="shared" si="16"/>
        <v>#N/A</v>
      </c>
      <c r="L14" s="2" t="e">
        <f t="shared" si="16"/>
        <v>#N/A</v>
      </c>
      <c r="M14" s="2" t="e">
        <f t="shared" si="16"/>
        <v>#N/A</v>
      </c>
      <c r="N14" s="2" t="e">
        <f t="shared" si="16"/>
        <v>#N/A</v>
      </c>
      <c r="O14" s="2" t="e">
        <f t="shared" si="16"/>
        <v>#N/A</v>
      </c>
      <c r="P14" s="2" t="e">
        <f t="shared" si="16"/>
        <v>#N/A</v>
      </c>
      <c r="Q14" s="2" t="e">
        <f t="shared" si="16"/>
        <v>#N/A</v>
      </c>
      <c r="R14" s="2" t="e">
        <f t="shared" ref="R14:S14" si="17">(R5+R7+R8)/R2</f>
        <v>#N/A</v>
      </c>
      <c r="S14" s="2" t="e">
        <f t="shared" si="17"/>
        <v>#N/A</v>
      </c>
      <c r="T14" s="2" t="e">
        <f t="shared" ref="T14" si="18">(T5+T7+T8)/T2</f>
        <v>#N/A</v>
      </c>
      <c r="U14" s="2" t="e">
        <f t="shared" ref="U14" si="19">(U5+U7+U8)/U2</f>
        <v>#N/A</v>
      </c>
    </row>
    <row r="15" spans="1:21" x14ac:dyDescent="0.25">
      <c r="A15" s="1" t="s">
        <v>42</v>
      </c>
      <c r="B15" s="2" t="e">
        <f>(B7)/B3</f>
        <v>#REF!</v>
      </c>
      <c r="C15" s="2" t="e">
        <f t="shared" ref="C15:Q15" si="20">(C7)/C3</f>
        <v>#REF!</v>
      </c>
      <c r="D15" s="2" t="e">
        <f t="shared" si="20"/>
        <v>#REF!</v>
      </c>
      <c r="E15" s="2" t="e">
        <f t="shared" si="20"/>
        <v>#REF!</v>
      </c>
      <c r="F15" s="2" t="e">
        <f t="shared" si="20"/>
        <v>#REF!</v>
      </c>
      <c r="G15" s="2" t="e">
        <f t="shared" si="20"/>
        <v>#REF!</v>
      </c>
      <c r="H15" s="2" t="e">
        <f t="shared" si="20"/>
        <v>#REF!</v>
      </c>
      <c r="I15" s="2" t="e">
        <f t="shared" si="20"/>
        <v>#REF!</v>
      </c>
      <c r="J15" s="2" t="e">
        <f t="shared" si="20"/>
        <v>#REF!</v>
      </c>
      <c r="K15" s="2" t="e">
        <f t="shared" si="20"/>
        <v>#REF!</v>
      </c>
      <c r="L15" s="2" t="e">
        <f t="shared" si="20"/>
        <v>#REF!</v>
      </c>
      <c r="M15" s="2" t="e">
        <f t="shared" si="20"/>
        <v>#REF!</v>
      </c>
      <c r="N15" s="2" t="e">
        <f t="shared" si="20"/>
        <v>#REF!</v>
      </c>
      <c r="O15" s="2" t="e">
        <f t="shared" si="20"/>
        <v>#REF!</v>
      </c>
      <c r="P15" s="2" t="e">
        <f t="shared" si="20"/>
        <v>#REF!</v>
      </c>
      <c r="Q15" s="2" t="e">
        <f t="shared" si="20"/>
        <v>#REF!</v>
      </c>
      <c r="R15" s="2" t="e">
        <f t="shared" ref="R15:S15" si="21">(R7)/R3</f>
        <v>#REF!</v>
      </c>
      <c r="S15" s="2" t="e">
        <f t="shared" si="21"/>
        <v>#REF!</v>
      </c>
      <c r="T15" s="2" t="e">
        <f t="shared" ref="T15" si="22">(T7)/T3</f>
        <v>#REF!</v>
      </c>
      <c r="U15" s="2" t="e">
        <f t="shared" ref="U15" si="23">(U7)/U3</f>
        <v>#REF!</v>
      </c>
    </row>
    <row r="16" spans="1:21" x14ac:dyDescent="0.25">
      <c r="A16" s="1" t="s">
        <v>43</v>
      </c>
      <c r="B16" s="2" t="e">
        <f>(B8+B5)/B4</f>
        <v>#REF!</v>
      </c>
      <c r="C16" s="2" t="e">
        <f t="shared" ref="C16:Q16" si="24">(C8+C5)/C4</f>
        <v>#REF!</v>
      </c>
      <c r="D16" s="2" t="e">
        <f t="shared" si="24"/>
        <v>#REF!</v>
      </c>
      <c r="E16" s="2" t="e">
        <f t="shared" si="24"/>
        <v>#REF!</v>
      </c>
      <c r="F16" s="2" t="e">
        <f t="shared" si="24"/>
        <v>#REF!</v>
      </c>
      <c r="G16" s="2" t="e">
        <f t="shared" si="24"/>
        <v>#REF!</v>
      </c>
      <c r="H16" s="2" t="e">
        <f t="shared" si="24"/>
        <v>#REF!</v>
      </c>
      <c r="I16" s="2" t="e">
        <f t="shared" si="24"/>
        <v>#REF!</v>
      </c>
      <c r="J16" s="2" t="e">
        <f t="shared" si="24"/>
        <v>#REF!</v>
      </c>
      <c r="K16" s="2" t="e">
        <f t="shared" si="24"/>
        <v>#REF!</v>
      </c>
      <c r="L16" s="2" t="e">
        <f t="shared" si="24"/>
        <v>#REF!</v>
      </c>
      <c r="M16" s="2" t="e">
        <f t="shared" si="24"/>
        <v>#REF!</v>
      </c>
      <c r="N16" s="2" t="e">
        <f t="shared" si="24"/>
        <v>#REF!</v>
      </c>
      <c r="O16" s="2" t="e">
        <f t="shared" si="24"/>
        <v>#REF!</v>
      </c>
      <c r="P16" s="2" t="e">
        <f t="shared" si="24"/>
        <v>#REF!</v>
      </c>
      <c r="Q16" s="2" t="e">
        <f t="shared" si="24"/>
        <v>#REF!</v>
      </c>
      <c r="R16" s="2" t="e">
        <f t="shared" ref="R16:S16" si="25">(R8+R5)/R4</f>
        <v>#REF!</v>
      </c>
      <c r="S16" s="2" t="e">
        <f t="shared" si="25"/>
        <v>#REF!</v>
      </c>
      <c r="T16" s="2" t="e">
        <f t="shared" ref="T16" si="26">(T8+T5)/T4</f>
        <v>#REF!</v>
      </c>
      <c r="U16" s="2" t="e">
        <f t="shared" ref="U16" si="27">(U8+U5)/U4</f>
        <v>#REF!</v>
      </c>
    </row>
    <row r="17" spans="1:21" x14ac:dyDescent="0.25">
      <c r="A17" s="1" t="s">
        <v>0</v>
      </c>
      <c r="B17" s="1">
        <f>SUMIFS(Assignments[Mem],Assignments[Short Name],B1)</f>
        <v>0</v>
      </c>
      <c r="C17" s="1">
        <f>SUMIFS(Assignments[Mem],Assignments[Short Name],C1)</f>
        <v>0</v>
      </c>
      <c r="D17" s="1">
        <f>SUMIFS(Assignments[Mem],Assignments[Short Name],D1)</f>
        <v>0</v>
      </c>
      <c r="E17" s="1">
        <f>SUMIFS(Assignments[Mem],Assignments[Short Name],E1)</f>
        <v>0</v>
      </c>
      <c r="F17" s="1">
        <f>SUMIFS(Assignments[Mem],Assignments[Short Name],F1)</f>
        <v>0</v>
      </c>
      <c r="G17" s="1">
        <f>SUMIFS(Assignments[Mem],Assignments[Short Name],G1)</f>
        <v>0</v>
      </c>
      <c r="H17" s="1">
        <f>SUMIFS(Assignments[Mem],Assignments[Short Name],H1)</f>
        <v>0</v>
      </c>
      <c r="I17" s="1">
        <f>SUMIFS(Assignments[Mem],Assignments[Short Name],I1)</f>
        <v>0</v>
      </c>
      <c r="J17" s="1">
        <f>SUMIFS(Assignments[Mem],Assignments[Short Name],J1)</f>
        <v>0</v>
      </c>
      <c r="K17" s="1">
        <f>SUMIFS(Assignments[Mem],Assignments[Short Name],K1)</f>
        <v>0</v>
      </c>
      <c r="L17" s="1">
        <f>SUMIFS(Assignments[Mem],Assignments[Short Name],L1)</f>
        <v>0</v>
      </c>
      <c r="M17" s="1">
        <f>SUMIFS(Assignments[Mem],Assignments[Short Name],M1)</f>
        <v>0</v>
      </c>
      <c r="N17" s="1">
        <f>SUMIFS(Assignments[Mem],Assignments[Short Name],N1)</f>
        <v>0</v>
      </c>
      <c r="O17" s="1">
        <f>SUMIFS(Assignments[Mem],Assignments[Short Name],O1)</f>
        <v>0</v>
      </c>
      <c r="P17" s="1">
        <f>SUMIFS(Assignments[Mem],Assignments[Short Name],P1)</f>
        <v>0</v>
      </c>
      <c r="Q17" s="1">
        <f>SUMIFS(Assignments[Mem],Assignments[Short Name],Q1)</f>
        <v>0</v>
      </c>
      <c r="R17" s="1">
        <f>SUMIFS(Assignments[Mem],Assignments[Short Name],R1)</f>
        <v>0</v>
      </c>
      <c r="S17" s="1">
        <f>SUMIFS(Assignments[Mem],Assignments[Short Name],S1)</f>
        <v>0</v>
      </c>
      <c r="T17" s="1">
        <f>SUMIFS(Assignments[Mem],Assignments[Short Name],T1)</f>
        <v>0</v>
      </c>
      <c r="U17" s="1">
        <f>SUMIFS(Assignments[Mem],Assignments[Short Name],U1)</f>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AF0E-5A5F-4597-97F4-A7EE3962C247}">
  <dimension ref="A1:N20"/>
  <sheetViews>
    <sheetView workbookViewId="0">
      <selection activeCell="L1" sqref="L1"/>
    </sheetView>
  </sheetViews>
  <sheetFormatPr defaultRowHeight="15" x14ac:dyDescent="0.25"/>
  <cols>
    <col min="1" max="1" width="14.42578125" customWidth="1"/>
    <col min="2" max="2" width="35" customWidth="1"/>
    <col min="3" max="3" width="11.42578125" customWidth="1"/>
    <col min="4" max="4" width="61.7109375" customWidth="1"/>
    <col min="5" max="5" width="17.42578125" bestFit="1" customWidth="1"/>
    <col min="6" max="6" width="12.28515625" bestFit="1" customWidth="1"/>
    <col min="7" max="8" width="13" bestFit="1" customWidth="1"/>
    <col min="9" max="9" width="16.7109375" bestFit="1" customWidth="1"/>
    <col min="10" max="10" width="13.5703125" bestFit="1" customWidth="1"/>
    <col min="11" max="11" width="12.7109375" bestFit="1" customWidth="1"/>
    <col min="12" max="12" width="15.7109375" bestFit="1" customWidth="1"/>
    <col min="13" max="13" width="12.5703125" bestFit="1" customWidth="1"/>
    <col min="14" max="14" width="7.140625" bestFit="1" customWidth="1"/>
  </cols>
  <sheetData>
    <row r="1" spans="1:14" x14ac:dyDescent="0.25">
      <c r="A1" s="1" t="s">
        <v>11</v>
      </c>
      <c r="B1" s="1" t="s">
        <v>12</v>
      </c>
      <c r="C1" s="1" t="s">
        <v>16</v>
      </c>
      <c r="D1" s="1" t="s">
        <v>117</v>
      </c>
      <c r="E1" s="6" t="s">
        <v>60</v>
      </c>
      <c r="F1" s="6" t="s">
        <v>61</v>
      </c>
      <c r="G1" s="6" t="s">
        <v>62</v>
      </c>
      <c r="H1" s="6" t="s">
        <v>63</v>
      </c>
      <c r="I1" s="6" t="s">
        <v>64</v>
      </c>
      <c r="J1" s="6" t="s">
        <v>59</v>
      </c>
      <c r="K1" s="6" t="s">
        <v>65</v>
      </c>
      <c r="L1" s="6" t="s">
        <v>66</v>
      </c>
      <c r="M1" s="6" t="s">
        <v>67</v>
      </c>
      <c r="N1" s="6" t="s">
        <v>25</v>
      </c>
    </row>
    <row r="2" spans="1:14" x14ac:dyDescent="0.25">
      <c r="A2" s="1" t="s">
        <v>134</v>
      </c>
      <c r="B2" t="s">
        <v>174</v>
      </c>
      <c r="C2" s="4">
        <v>45997</v>
      </c>
      <c r="D2" s="1" t="s">
        <v>152</v>
      </c>
      <c r="E2" s="1">
        <v>0</v>
      </c>
      <c r="F2" s="1">
        <v>0</v>
      </c>
      <c r="G2" s="1">
        <v>0</v>
      </c>
      <c r="H2" s="1">
        <v>0</v>
      </c>
      <c r="I2" s="1">
        <v>3</v>
      </c>
      <c r="J2" s="1">
        <v>0</v>
      </c>
      <c r="K2" s="1">
        <v>0</v>
      </c>
      <c r="L2" s="1">
        <v>0</v>
      </c>
      <c r="M2" s="1">
        <v>0</v>
      </c>
      <c r="N2" s="1">
        <v>0</v>
      </c>
    </row>
    <row r="3" spans="1:14" x14ac:dyDescent="0.25">
      <c r="A3" s="1" t="s">
        <v>135</v>
      </c>
      <c r="B3" t="s">
        <v>175</v>
      </c>
      <c r="C3" s="4">
        <v>45997</v>
      </c>
      <c r="D3" s="1" t="s">
        <v>153</v>
      </c>
      <c r="E3" s="1">
        <v>0</v>
      </c>
      <c r="F3" s="1">
        <v>0</v>
      </c>
      <c r="G3" s="1">
        <v>0</v>
      </c>
      <c r="H3" s="1">
        <v>0</v>
      </c>
      <c r="I3" s="1">
        <v>2</v>
      </c>
      <c r="J3" s="1">
        <v>0</v>
      </c>
      <c r="K3" s="1">
        <v>0</v>
      </c>
      <c r="L3" s="1">
        <v>0</v>
      </c>
      <c r="M3" s="1">
        <v>0</v>
      </c>
      <c r="N3" s="1">
        <v>0</v>
      </c>
    </row>
    <row r="4" spans="1:14" x14ac:dyDescent="0.25">
      <c r="A4" s="1" t="s">
        <v>136</v>
      </c>
      <c r="B4" t="s">
        <v>170</v>
      </c>
      <c r="C4" s="4">
        <v>45983</v>
      </c>
      <c r="D4" s="1" t="s">
        <v>154</v>
      </c>
      <c r="E4" s="1">
        <v>0</v>
      </c>
      <c r="F4" s="1">
        <v>0</v>
      </c>
      <c r="G4" s="1">
        <v>0</v>
      </c>
      <c r="H4" s="1">
        <v>0</v>
      </c>
      <c r="I4" s="1">
        <v>3</v>
      </c>
      <c r="J4" s="1">
        <v>0</v>
      </c>
      <c r="K4" s="1">
        <v>0</v>
      </c>
      <c r="L4" s="1">
        <v>0</v>
      </c>
      <c r="M4" s="1">
        <v>0</v>
      </c>
      <c r="N4" s="1">
        <v>0</v>
      </c>
    </row>
    <row r="5" spans="1:14" x14ac:dyDescent="0.25">
      <c r="A5" s="1" t="s">
        <v>137</v>
      </c>
      <c r="B5" t="s">
        <v>176</v>
      </c>
      <c r="C5" s="4">
        <v>45997</v>
      </c>
      <c r="D5" s="1" t="s">
        <v>155</v>
      </c>
      <c r="E5" s="1">
        <v>0</v>
      </c>
      <c r="F5" s="1">
        <v>0</v>
      </c>
      <c r="G5" s="1">
        <v>0</v>
      </c>
      <c r="H5" s="1">
        <v>0</v>
      </c>
      <c r="I5" s="1">
        <v>1</v>
      </c>
      <c r="J5" s="1">
        <v>0</v>
      </c>
      <c r="K5" s="1">
        <v>0</v>
      </c>
      <c r="L5" s="1">
        <v>0</v>
      </c>
      <c r="M5" s="1">
        <v>0</v>
      </c>
      <c r="N5" s="1">
        <v>0</v>
      </c>
    </row>
    <row r="6" spans="1:14" x14ac:dyDescent="0.25">
      <c r="A6" s="1" t="s">
        <v>188</v>
      </c>
      <c r="B6" t="s">
        <v>189</v>
      </c>
      <c r="C6" s="4">
        <v>45976</v>
      </c>
      <c r="D6" s="1" t="s">
        <v>190</v>
      </c>
      <c r="E6" s="1">
        <v>2</v>
      </c>
      <c r="F6" s="1">
        <v>1</v>
      </c>
      <c r="G6" s="1">
        <v>1</v>
      </c>
      <c r="H6" s="1">
        <v>3</v>
      </c>
      <c r="I6" s="1">
        <v>3</v>
      </c>
      <c r="J6" s="1">
        <v>3</v>
      </c>
      <c r="K6" s="1">
        <v>1</v>
      </c>
      <c r="L6" s="1">
        <v>0</v>
      </c>
      <c r="M6" s="1">
        <v>0</v>
      </c>
      <c r="N6" s="1">
        <v>3</v>
      </c>
    </row>
    <row r="7" spans="1:14" x14ac:dyDescent="0.25">
      <c r="A7" s="1" t="s">
        <v>138</v>
      </c>
      <c r="B7" t="s">
        <v>177</v>
      </c>
      <c r="C7" s="4">
        <v>46005</v>
      </c>
      <c r="D7" s="1" t="s">
        <v>156</v>
      </c>
      <c r="E7" s="1">
        <v>0</v>
      </c>
      <c r="F7" s="1">
        <v>0</v>
      </c>
      <c r="G7" s="1">
        <v>0</v>
      </c>
      <c r="H7" s="1">
        <v>0</v>
      </c>
      <c r="I7" s="1">
        <v>1</v>
      </c>
      <c r="J7" s="1">
        <v>0</v>
      </c>
      <c r="K7" s="1">
        <v>0</v>
      </c>
      <c r="L7" s="1">
        <v>0</v>
      </c>
      <c r="M7" s="1">
        <v>0</v>
      </c>
      <c r="N7" s="1">
        <v>0</v>
      </c>
    </row>
    <row r="8" spans="1:14" x14ac:dyDescent="0.25">
      <c r="A8" s="1" t="s">
        <v>139</v>
      </c>
      <c r="B8" t="s">
        <v>178</v>
      </c>
      <c r="C8" s="4">
        <v>45976</v>
      </c>
      <c r="D8" s="1" t="s">
        <v>157</v>
      </c>
      <c r="E8" s="1">
        <v>0</v>
      </c>
      <c r="F8" s="1">
        <v>0</v>
      </c>
      <c r="G8" s="1">
        <v>0</v>
      </c>
      <c r="H8" s="1">
        <v>0</v>
      </c>
      <c r="I8" s="1">
        <v>3</v>
      </c>
      <c r="J8" s="1">
        <v>0</v>
      </c>
      <c r="K8" s="1">
        <v>0</v>
      </c>
      <c r="L8" s="1">
        <v>0</v>
      </c>
      <c r="M8" s="1">
        <v>0</v>
      </c>
      <c r="N8" s="1">
        <v>0</v>
      </c>
    </row>
    <row r="9" spans="1:14" x14ac:dyDescent="0.25">
      <c r="A9" s="1" t="s">
        <v>140</v>
      </c>
      <c r="B9" t="s">
        <v>171</v>
      </c>
      <c r="C9" s="4">
        <v>45997</v>
      </c>
      <c r="D9" s="1" t="s">
        <v>158</v>
      </c>
      <c r="E9" s="1">
        <v>0</v>
      </c>
      <c r="F9" s="1">
        <v>0</v>
      </c>
      <c r="G9" s="1">
        <v>0</v>
      </c>
      <c r="H9" s="1">
        <v>0</v>
      </c>
      <c r="I9" s="1">
        <v>4</v>
      </c>
      <c r="J9" s="1">
        <v>0</v>
      </c>
      <c r="K9" s="1">
        <v>0</v>
      </c>
      <c r="L9" s="1">
        <v>0</v>
      </c>
      <c r="M9" s="1">
        <v>0</v>
      </c>
      <c r="N9" s="1">
        <v>0</v>
      </c>
    </row>
    <row r="10" spans="1:14" x14ac:dyDescent="0.25">
      <c r="A10" s="1" t="s">
        <v>141</v>
      </c>
      <c r="B10" t="s">
        <v>179</v>
      </c>
      <c r="C10" s="4">
        <v>45976</v>
      </c>
      <c r="D10" s="1" t="s">
        <v>159</v>
      </c>
      <c r="E10" s="1">
        <v>0</v>
      </c>
      <c r="F10" s="1">
        <v>0</v>
      </c>
      <c r="G10" s="1">
        <v>0</v>
      </c>
      <c r="H10" s="1">
        <v>0</v>
      </c>
      <c r="I10" s="1">
        <v>4</v>
      </c>
      <c r="J10" s="1">
        <v>0</v>
      </c>
      <c r="K10" s="1">
        <v>0</v>
      </c>
      <c r="L10" s="1">
        <v>0</v>
      </c>
      <c r="M10" s="1">
        <v>0</v>
      </c>
      <c r="N10" s="1">
        <v>0</v>
      </c>
    </row>
    <row r="11" spans="1:14" x14ac:dyDescent="0.25">
      <c r="A11" s="1" t="s">
        <v>142</v>
      </c>
      <c r="B11" t="s">
        <v>180</v>
      </c>
      <c r="C11" s="4">
        <v>45983</v>
      </c>
      <c r="D11" s="1" t="s">
        <v>160</v>
      </c>
      <c r="E11" s="1">
        <v>0</v>
      </c>
      <c r="F11" s="1">
        <v>0</v>
      </c>
      <c r="G11" s="1">
        <v>0</v>
      </c>
      <c r="H11" s="1">
        <v>0</v>
      </c>
      <c r="I11" s="1">
        <v>4</v>
      </c>
      <c r="J11" s="1">
        <v>0</v>
      </c>
      <c r="K11" s="1">
        <v>0</v>
      </c>
      <c r="L11" s="1">
        <v>0</v>
      </c>
      <c r="M11" s="1">
        <v>0</v>
      </c>
      <c r="N11" s="1">
        <v>0</v>
      </c>
    </row>
    <row r="12" spans="1:14" x14ac:dyDescent="0.25">
      <c r="A12" s="1" t="s">
        <v>143</v>
      </c>
      <c r="B12" t="s">
        <v>181</v>
      </c>
      <c r="C12" s="4">
        <v>45977</v>
      </c>
      <c r="D12" s="1" t="s">
        <v>161</v>
      </c>
      <c r="E12" s="1">
        <v>0</v>
      </c>
      <c r="F12" s="1">
        <v>0</v>
      </c>
      <c r="G12" s="1">
        <v>0</v>
      </c>
      <c r="H12" s="1">
        <v>0</v>
      </c>
      <c r="I12" s="1">
        <v>4</v>
      </c>
      <c r="J12" s="1">
        <v>0</v>
      </c>
      <c r="K12" s="1">
        <v>0</v>
      </c>
      <c r="L12" s="1">
        <v>0</v>
      </c>
      <c r="M12" s="1">
        <v>0</v>
      </c>
      <c r="N12" s="1">
        <v>0</v>
      </c>
    </row>
    <row r="13" spans="1:14" x14ac:dyDescent="0.25">
      <c r="A13" s="1" t="s">
        <v>144</v>
      </c>
      <c r="B13" t="s">
        <v>182</v>
      </c>
      <c r="C13" s="4">
        <v>45977</v>
      </c>
      <c r="D13" s="1" t="s">
        <v>162</v>
      </c>
      <c r="E13" s="1">
        <v>0</v>
      </c>
      <c r="F13" s="1">
        <v>0</v>
      </c>
      <c r="G13" s="1">
        <v>0</v>
      </c>
      <c r="H13" s="1">
        <v>0</v>
      </c>
      <c r="I13" s="1">
        <v>1</v>
      </c>
      <c r="J13" s="1">
        <v>0</v>
      </c>
      <c r="K13" s="1">
        <v>0</v>
      </c>
      <c r="L13" s="1">
        <v>0</v>
      </c>
      <c r="M13" s="1">
        <v>0</v>
      </c>
      <c r="N13" s="1">
        <v>0</v>
      </c>
    </row>
    <row r="14" spans="1:14" x14ac:dyDescent="0.25">
      <c r="A14" s="1" t="s">
        <v>145</v>
      </c>
      <c r="B14" t="s">
        <v>183</v>
      </c>
      <c r="C14" s="4">
        <v>45983</v>
      </c>
      <c r="D14" s="1" t="s">
        <v>163</v>
      </c>
      <c r="E14" s="1">
        <v>0</v>
      </c>
      <c r="F14" s="1">
        <v>0</v>
      </c>
      <c r="G14" s="1">
        <v>0</v>
      </c>
      <c r="H14" s="1">
        <v>0</v>
      </c>
      <c r="I14" s="1">
        <v>2</v>
      </c>
      <c r="J14" s="1">
        <v>0</v>
      </c>
      <c r="K14" s="1">
        <v>0</v>
      </c>
      <c r="L14" s="1">
        <v>0</v>
      </c>
      <c r="M14" s="1">
        <v>0</v>
      </c>
      <c r="N14" s="1">
        <v>0</v>
      </c>
    </row>
    <row r="15" spans="1:14" x14ac:dyDescent="0.25">
      <c r="A15" s="1" t="s">
        <v>146</v>
      </c>
      <c r="B15" t="s">
        <v>172</v>
      </c>
      <c r="C15" s="4">
        <v>46004</v>
      </c>
      <c r="D15" s="1" t="s">
        <v>164</v>
      </c>
      <c r="E15" s="1">
        <v>2</v>
      </c>
      <c r="F15" s="1">
        <v>1</v>
      </c>
      <c r="G15" s="1">
        <v>1</v>
      </c>
      <c r="H15" s="1">
        <v>1</v>
      </c>
      <c r="I15" s="1">
        <v>1</v>
      </c>
      <c r="J15" s="1">
        <v>2</v>
      </c>
      <c r="K15" s="1">
        <v>0</v>
      </c>
      <c r="L15" s="1">
        <v>0</v>
      </c>
      <c r="M15" s="1">
        <v>0</v>
      </c>
      <c r="N15" s="1">
        <v>2</v>
      </c>
    </row>
    <row r="16" spans="1:14" x14ac:dyDescent="0.25">
      <c r="A16" s="1" t="s">
        <v>147</v>
      </c>
      <c r="B16" t="s">
        <v>184</v>
      </c>
      <c r="C16" s="4">
        <v>46004</v>
      </c>
      <c r="D16" s="5" t="s">
        <v>165</v>
      </c>
      <c r="E16" s="1">
        <v>0</v>
      </c>
      <c r="F16" s="1">
        <v>0</v>
      </c>
      <c r="G16" s="1">
        <v>0</v>
      </c>
      <c r="H16" s="1">
        <v>0</v>
      </c>
      <c r="I16" s="5">
        <v>2</v>
      </c>
      <c r="J16" s="1">
        <v>0</v>
      </c>
      <c r="K16" s="1">
        <v>0</v>
      </c>
      <c r="L16" s="1">
        <v>0</v>
      </c>
      <c r="M16" s="1">
        <v>0</v>
      </c>
      <c r="N16" s="1">
        <v>0</v>
      </c>
    </row>
    <row r="17" spans="1:14" x14ac:dyDescent="0.25">
      <c r="A17" t="s">
        <v>148</v>
      </c>
      <c r="B17" t="s">
        <v>185</v>
      </c>
      <c r="C17" s="4">
        <v>46005</v>
      </c>
      <c r="D17" s="5" t="s">
        <v>166</v>
      </c>
      <c r="E17" s="1">
        <v>0</v>
      </c>
      <c r="F17" s="1">
        <v>0</v>
      </c>
      <c r="G17" s="1">
        <v>0</v>
      </c>
      <c r="H17" s="1">
        <v>0</v>
      </c>
      <c r="I17" s="5">
        <v>3</v>
      </c>
      <c r="J17" s="1">
        <v>0</v>
      </c>
      <c r="K17" s="1">
        <v>0</v>
      </c>
      <c r="L17" s="1">
        <v>0</v>
      </c>
      <c r="M17" s="1">
        <v>0</v>
      </c>
      <c r="N17" s="1">
        <v>0</v>
      </c>
    </row>
    <row r="18" spans="1:14" x14ac:dyDescent="0.25">
      <c r="A18" s="1" t="s">
        <v>149</v>
      </c>
      <c r="B18" t="s">
        <v>173</v>
      </c>
      <c r="C18" s="4">
        <v>46004</v>
      </c>
      <c r="D18" s="1" t="s">
        <v>167</v>
      </c>
      <c r="E18" s="1">
        <v>0</v>
      </c>
      <c r="F18" s="1">
        <v>0</v>
      </c>
      <c r="G18" s="1">
        <v>0</v>
      </c>
      <c r="H18" s="1">
        <v>0</v>
      </c>
      <c r="I18" s="1">
        <v>3</v>
      </c>
      <c r="J18" s="1">
        <v>0</v>
      </c>
      <c r="K18" s="1">
        <v>0</v>
      </c>
      <c r="L18" s="1">
        <v>0</v>
      </c>
      <c r="M18" s="1">
        <v>0</v>
      </c>
      <c r="N18" s="1">
        <v>0</v>
      </c>
    </row>
    <row r="19" spans="1:14" x14ac:dyDescent="0.25">
      <c r="A19" s="1" t="s">
        <v>150</v>
      </c>
      <c r="B19" t="s">
        <v>186</v>
      </c>
      <c r="C19" s="4">
        <v>45984</v>
      </c>
      <c r="D19" s="1" t="s">
        <v>168</v>
      </c>
      <c r="E19" s="1">
        <v>0</v>
      </c>
      <c r="F19" s="1">
        <v>0</v>
      </c>
      <c r="G19" s="1">
        <v>0</v>
      </c>
      <c r="H19" s="1">
        <v>0</v>
      </c>
      <c r="I19" s="1">
        <v>2</v>
      </c>
      <c r="J19" s="1">
        <v>0</v>
      </c>
      <c r="K19" s="1">
        <v>0</v>
      </c>
      <c r="L19" s="1">
        <v>0</v>
      </c>
      <c r="M19" s="1">
        <v>0</v>
      </c>
      <c r="N19" s="1">
        <v>0</v>
      </c>
    </row>
    <row r="20" spans="1:14" x14ac:dyDescent="0.25">
      <c r="A20" s="1" t="s">
        <v>151</v>
      </c>
      <c r="B20" t="s">
        <v>187</v>
      </c>
      <c r="C20" s="4">
        <v>45977</v>
      </c>
      <c r="D20" s="1" t="s">
        <v>169</v>
      </c>
      <c r="E20" s="1">
        <v>0</v>
      </c>
      <c r="F20" s="1">
        <v>0</v>
      </c>
      <c r="G20" s="1">
        <v>0</v>
      </c>
      <c r="H20" s="1">
        <v>0</v>
      </c>
      <c r="I20" s="1">
        <v>1</v>
      </c>
      <c r="J20" s="1">
        <v>0</v>
      </c>
      <c r="K20" s="1">
        <v>0</v>
      </c>
      <c r="L20" s="1">
        <v>0</v>
      </c>
      <c r="M20" s="1">
        <v>0</v>
      </c>
      <c r="N20" s="1">
        <v>0</v>
      </c>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B0F1-8C69-412F-8013-AD404FAFA062}">
  <dimension ref="A1:L3"/>
  <sheetViews>
    <sheetView tabSelected="1" workbookViewId="0">
      <selection activeCell="E2" sqref="E2"/>
    </sheetView>
  </sheetViews>
  <sheetFormatPr defaultRowHeight="15" x14ac:dyDescent="0.25"/>
  <cols>
    <col min="1" max="1" width="23.7109375" customWidth="1"/>
    <col min="2" max="2" width="51.140625" bestFit="1" customWidth="1"/>
    <col min="3" max="3" width="10.42578125" bestFit="1" customWidth="1"/>
    <col min="4" max="4" width="6.28515625" bestFit="1" customWidth="1"/>
    <col min="5" max="5" width="59.85546875" bestFit="1" customWidth="1"/>
    <col min="6" max="6" width="17" bestFit="1" customWidth="1"/>
    <col min="7" max="7" width="12.85546875" bestFit="1" customWidth="1"/>
    <col min="8" max="8" width="11.85546875" bestFit="1" customWidth="1"/>
    <col min="9" max="9" width="12.7109375" bestFit="1" customWidth="1"/>
    <col min="10" max="10" width="13.28515625" bestFit="1" customWidth="1"/>
    <col min="11" max="11" width="7" bestFit="1" customWidth="1"/>
    <col min="12" max="12" width="19" bestFit="1" customWidth="1"/>
  </cols>
  <sheetData>
    <row r="1" spans="1:12" x14ac:dyDescent="0.25">
      <c r="A1" t="s">
        <v>11</v>
      </c>
      <c r="B1" t="s">
        <v>12</v>
      </c>
      <c r="C1" t="s">
        <v>16</v>
      </c>
      <c r="D1" t="s">
        <v>20</v>
      </c>
      <c r="E1" t="s">
        <v>117</v>
      </c>
      <c r="F1" t="s">
        <v>60</v>
      </c>
      <c r="G1" t="s">
        <v>62</v>
      </c>
      <c r="H1" t="s">
        <v>61</v>
      </c>
      <c r="I1" t="s">
        <v>63</v>
      </c>
      <c r="J1" t="s">
        <v>59</v>
      </c>
      <c r="K1" t="s">
        <v>25</v>
      </c>
      <c r="L1" t="s">
        <v>64</v>
      </c>
    </row>
    <row r="2" spans="1:12" x14ac:dyDescent="0.25">
      <c r="A2" t="s">
        <v>191</v>
      </c>
      <c r="B2" t="s">
        <v>192</v>
      </c>
      <c r="C2" s="7">
        <v>46032</v>
      </c>
      <c r="D2" t="s">
        <v>23</v>
      </c>
      <c r="E2" t="s">
        <v>393</v>
      </c>
      <c r="F2">
        <v>3</v>
      </c>
      <c r="G2">
        <v>3</v>
      </c>
      <c r="H2">
        <v>3</v>
      </c>
      <c r="I2">
        <v>3</v>
      </c>
      <c r="J2">
        <v>3</v>
      </c>
      <c r="K2">
        <v>0</v>
      </c>
      <c r="L2">
        <v>3</v>
      </c>
    </row>
    <row r="3" spans="1:12" x14ac:dyDescent="0.25">
      <c r="A3" t="s">
        <v>193</v>
      </c>
      <c r="B3" t="s">
        <v>194</v>
      </c>
      <c r="C3" s="7">
        <v>46033</v>
      </c>
      <c r="D3" t="s">
        <v>24</v>
      </c>
      <c r="E3" t="s">
        <v>394</v>
      </c>
      <c r="F3">
        <v>3</v>
      </c>
      <c r="G3">
        <v>3</v>
      </c>
      <c r="H3">
        <v>3</v>
      </c>
      <c r="I3">
        <v>3</v>
      </c>
      <c r="J3">
        <v>3</v>
      </c>
      <c r="K3">
        <v>0</v>
      </c>
      <c r="L3">
        <v>3</v>
      </c>
    </row>
  </sheetData>
  <phoneticPr fontId="2" type="noConversion"/>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FCFD-7913-48E7-8A1D-892F3A9B6B36}">
  <dimension ref="A1:H114"/>
  <sheetViews>
    <sheetView workbookViewId="0">
      <selection activeCell="A2" sqref="A2"/>
    </sheetView>
  </sheetViews>
  <sheetFormatPr defaultRowHeight="15" x14ac:dyDescent="0.25"/>
  <cols>
    <col min="1" max="1" width="18.85546875" bestFit="1" customWidth="1"/>
    <col min="2" max="2" width="9.28515625" bestFit="1" customWidth="1"/>
    <col min="3" max="3" width="46.7109375" bestFit="1" customWidth="1"/>
    <col min="4" max="4" width="45.7109375" bestFit="1" customWidth="1"/>
    <col min="5" max="5" width="50.42578125" bestFit="1" customWidth="1"/>
    <col min="6" max="6" width="5.85546875" bestFit="1" customWidth="1"/>
    <col min="7" max="7" width="7.140625" bestFit="1" customWidth="1"/>
  </cols>
  <sheetData>
    <row r="1" spans="1:8" x14ac:dyDescent="0.25">
      <c r="A1" t="s">
        <v>11</v>
      </c>
      <c r="B1" t="s">
        <v>133</v>
      </c>
      <c r="C1" t="s">
        <v>17</v>
      </c>
      <c r="D1" t="s">
        <v>18</v>
      </c>
      <c r="E1" t="s">
        <v>19</v>
      </c>
      <c r="F1" t="s">
        <v>20</v>
      </c>
      <c r="G1" t="s">
        <v>21</v>
      </c>
      <c r="H1" t="s">
        <v>22</v>
      </c>
    </row>
    <row r="2" spans="1:8" ht="15.75" x14ac:dyDescent="0.25">
      <c r="A2" s="3" t="s">
        <v>191</v>
      </c>
      <c r="B2" s="3">
        <v>112</v>
      </c>
      <c r="C2" s="3" t="s">
        <v>195</v>
      </c>
      <c r="D2" s="3" t="s">
        <v>196</v>
      </c>
      <c r="E2" s="3" t="s">
        <v>197</v>
      </c>
      <c r="F2" s="3" t="s">
        <v>23</v>
      </c>
      <c r="G2" s="3"/>
      <c r="H2" s="3"/>
    </row>
    <row r="3" spans="1:8" ht="15.75" x14ac:dyDescent="0.25">
      <c r="A3" s="3" t="s">
        <v>191</v>
      </c>
      <c r="B3" s="3">
        <v>9021</v>
      </c>
      <c r="C3" s="3" t="s">
        <v>198</v>
      </c>
      <c r="D3" s="3" t="s">
        <v>56</v>
      </c>
      <c r="E3" s="3" t="s">
        <v>199</v>
      </c>
      <c r="F3" s="3" t="s">
        <v>23</v>
      </c>
      <c r="G3" s="3"/>
      <c r="H3" s="3"/>
    </row>
    <row r="4" spans="1:8" ht="15.75" x14ac:dyDescent="0.25">
      <c r="A4" s="3" t="s">
        <v>191</v>
      </c>
      <c r="B4" s="3">
        <v>10321</v>
      </c>
      <c r="C4" s="3" t="s">
        <v>200</v>
      </c>
      <c r="D4" s="3" t="s">
        <v>201</v>
      </c>
      <c r="E4" s="3" t="s">
        <v>202</v>
      </c>
      <c r="F4" s="3" t="s">
        <v>23</v>
      </c>
      <c r="G4" s="3"/>
      <c r="H4" s="3"/>
    </row>
    <row r="5" spans="1:8" ht="15.75" x14ac:dyDescent="0.25">
      <c r="A5" s="3" t="s">
        <v>191</v>
      </c>
      <c r="B5" s="3">
        <v>20349</v>
      </c>
      <c r="C5" s="3" t="s">
        <v>203</v>
      </c>
      <c r="D5" s="3" t="s">
        <v>204</v>
      </c>
      <c r="E5" s="3" t="s">
        <v>205</v>
      </c>
      <c r="F5" s="3" t="s">
        <v>23</v>
      </c>
      <c r="G5" s="3"/>
      <c r="H5" s="3"/>
    </row>
    <row r="6" spans="1:8" ht="15.75" x14ac:dyDescent="0.25">
      <c r="A6" s="3" t="s">
        <v>191</v>
      </c>
      <c r="B6" s="3">
        <v>23372</v>
      </c>
      <c r="C6" s="3" t="s">
        <v>206</v>
      </c>
      <c r="D6" s="3" t="s">
        <v>207</v>
      </c>
      <c r="E6" s="3" t="s">
        <v>208</v>
      </c>
      <c r="F6" s="3" t="s">
        <v>23</v>
      </c>
      <c r="G6" s="3"/>
      <c r="H6" s="3"/>
    </row>
    <row r="7" spans="1:8" ht="15.75" x14ac:dyDescent="0.25">
      <c r="A7" s="3" t="s">
        <v>191</v>
      </c>
      <c r="B7" s="3">
        <v>24317</v>
      </c>
      <c r="C7" s="3" t="s">
        <v>209</v>
      </c>
      <c r="D7" s="3" t="s">
        <v>210</v>
      </c>
      <c r="E7" s="3" t="s">
        <v>211</v>
      </c>
      <c r="F7" s="3" t="s">
        <v>23</v>
      </c>
      <c r="G7" s="3"/>
      <c r="H7" s="3"/>
    </row>
    <row r="8" spans="1:8" ht="15.75" x14ac:dyDescent="0.25">
      <c r="A8" s="3" t="s">
        <v>191</v>
      </c>
      <c r="B8" s="3">
        <v>27239</v>
      </c>
      <c r="C8" s="3" t="s">
        <v>212</v>
      </c>
      <c r="D8" s="3" t="s">
        <v>213</v>
      </c>
      <c r="E8" s="3" t="s">
        <v>214</v>
      </c>
      <c r="F8" s="3" t="s">
        <v>23</v>
      </c>
      <c r="G8" s="3"/>
      <c r="H8" s="3"/>
    </row>
    <row r="9" spans="1:8" ht="15.75" x14ac:dyDescent="0.25">
      <c r="A9" s="3" t="s">
        <v>191</v>
      </c>
      <c r="B9" s="3">
        <v>32350</v>
      </c>
      <c r="C9" s="3" t="s">
        <v>215</v>
      </c>
      <c r="D9" s="3" t="s">
        <v>216</v>
      </c>
      <c r="E9" s="3" t="s">
        <v>217</v>
      </c>
      <c r="F9" s="3" t="s">
        <v>23</v>
      </c>
      <c r="G9" s="3"/>
      <c r="H9" s="3"/>
    </row>
    <row r="10" spans="1:8" ht="15.75" x14ac:dyDescent="0.25">
      <c r="A10" s="3" t="s">
        <v>191</v>
      </c>
      <c r="B10" s="3">
        <v>37683</v>
      </c>
      <c r="C10" s="3" t="s">
        <v>218</v>
      </c>
      <c r="D10" s="3" t="s">
        <v>54</v>
      </c>
      <c r="E10" s="3" t="s">
        <v>219</v>
      </c>
      <c r="F10" s="3" t="s">
        <v>23</v>
      </c>
      <c r="G10" s="3"/>
      <c r="H10" s="3"/>
    </row>
    <row r="11" spans="1:8" ht="15.75" x14ac:dyDescent="0.25">
      <c r="A11" s="3" t="s">
        <v>191</v>
      </c>
      <c r="B11" s="3">
        <v>37711</v>
      </c>
      <c r="C11" s="3" t="s">
        <v>220</v>
      </c>
      <c r="D11" s="3" t="s">
        <v>221</v>
      </c>
      <c r="E11" s="3" t="s">
        <v>222</v>
      </c>
      <c r="F11" s="3" t="s">
        <v>23</v>
      </c>
      <c r="G11" s="3"/>
      <c r="H11" s="3"/>
    </row>
    <row r="12" spans="1:8" ht="15.75" x14ac:dyDescent="0.25">
      <c r="A12" s="3" t="s">
        <v>191</v>
      </c>
      <c r="B12" s="3">
        <v>38363</v>
      </c>
      <c r="C12" s="3" t="s">
        <v>223</v>
      </c>
      <c r="D12" s="3" t="s">
        <v>224</v>
      </c>
      <c r="E12" s="3" t="s">
        <v>225</v>
      </c>
      <c r="F12" s="3" t="s">
        <v>23</v>
      </c>
      <c r="G12" s="3"/>
      <c r="H12" s="3"/>
    </row>
    <row r="13" spans="1:8" ht="15.75" x14ac:dyDescent="0.25">
      <c r="A13" s="3" t="s">
        <v>191</v>
      </c>
      <c r="B13" s="3">
        <v>39343</v>
      </c>
      <c r="C13" s="3" t="s">
        <v>226</v>
      </c>
      <c r="D13" s="3" t="s">
        <v>227</v>
      </c>
      <c r="E13" s="3" t="s">
        <v>228</v>
      </c>
      <c r="F13" s="3" t="s">
        <v>23</v>
      </c>
      <c r="G13" s="3"/>
      <c r="H13" s="3"/>
    </row>
    <row r="14" spans="1:8" ht="15.75" x14ac:dyDescent="0.25">
      <c r="A14" s="3" t="s">
        <v>191</v>
      </c>
      <c r="B14" s="3">
        <v>46457</v>
      </c>
      <c r="C14" s="3" t="s">
        <v>229</v>
      </c>
      <c r="D14" s="3" t="s">
        <v>230</v>
      </c>
      <c r="E14" s="3" t="s">
        <v>231</v>
      </c>
      <c r="F14" s="3" t="s">
        <v>23</v>
      </c>
      <c r="G14" s="3"/>
      <c r="H14" s="3"/>
    </row>
    <row r="15" spans="1:8" ht="15.75" x14ac:dyDescent="0.25">
      <c r="A15" s="3" t="s">
        <v>191</v>
      </c>
      <c r="B15" s="3">
        <v>51572</v>
      </c>
      <c r="C15" s="3" t="s">
        <v>232</v>
      </c>
      <c r="D15" s="3" t="s">
        <v>233</v>
      </c>
      <c r="E15" s="3" t="s">
        <v>234</v>
      </c>
      <c r="F15" s="3" t="s">
        <v>23</v>
      </c>
      <c r="G15" s="3"/>
      <c r="H15" s="3"/>
    </row>
    <row r="16" spans="1:8" ht="15.75" x14ac:dyDescent="0.25">
      <c r="A16" s="3" t="s">
        <v>191</v>
      </c>
      <c r="B16" s="3">
        <v>53121</v>
      </c>
      <c r="C16" s="3" t="s">
        <v>235</v>
      </c>
      <c r="D16" s="3" t="s">
        <v>236</v>
      </c>
      <c r="E16" s="3" t="s">
        <v>237</v>
      </c>
      <c r="F16" s="3" t="s">
        <v>23</v>
      </c>
      <c r="G16" s="3"/>
      <c r="H16" s="3"/>
    </row>
    <row r="17" spans="1:8" ht="15.75" x14ac:dyDescent="0.25">
      <c r="A17" s="3" t="s">
        <v>191</v>
      </c>
      <c r="B17" s="3">
        <v>53240</v>
      </c>
      <c r="C17" s="3" t="s">
        <v>238</v>
      </c>
      <c r="D17" s="3" t="s">
        <v>239</v>
      </c>
      <c r="E17" s="3"/>
      <c r="F17" s="3" t="s">
        <v>23</v>
      </c>
      <c r="G17" s="3"/>
      <c r="H17" s="3"/>
    </row>
    <row r="18" spans="1:8" ht="15.75" x14ac:dyDescent="0.25">
      <c r="A18" s="3" t="s">
        <v>191</v>
      </c>
      <c r="B18" s="3">
        <v>55754</v>
      </c>
      <c r="C18" s="3" t="s">
        <v>240</v>
      </c>
      <c r="D18" s="3" t="s">
        <v>241</v>
      </c>
      <c r="E18" s="3" t="s">
        <v>242</v>
      </c>
      <c r="F18" s="3" t="s">
        <v>23</v>
      </c>
      <c r="G18" s="3"/>
      <c r="H18" s="3"/>
    </row>
    <row r="19" spans="1:8" ht="15.75" x14ac:dyDescent="0.25">
      <c r="A19" s="3" t="s">
        <v>191</v>
      </c>
      <c r="B19" s="3">
        <v>60140</v>
      </c>
      <c r="C19" s="3" t="s">
        <v>243</v>
      </c>
      <c r="D19" s="3" t="s">
        <v>244</v>
      </c>
      <c r="E19" s="3" t="s">
        <v>245</v>
      </c>
      <c r="F19" s="3" t="s">
        <v>23</v>
      </c>
      <c r="G19" s="3"/>
      <c r="H19" s="3"/>
    </row>
    <row r="20" spans="1:8" ht="15.75" x14ac:dyDescent="0.25">
      <c r="A20" s="3" t="s">
        <v>191</v>
      </c>
      <c r="B20" s="3">
        <v>60187</v>
      </c>
      <c r="C20" s="3" t="s">
        <v>246</v>
      </c>
      <c r="D20" s="3" t="s">
        <v>247</v>
      </c>
      <c r="E20" s="3"/>
      <c r="F20" s="3" t="s">
        <v>23</v>
      </c>
      <c r="G20" s="3"/>
      <c r="H20" s="3"/>
    </row>
    <row r="21" spans="1:8" ht="15.75" x14ac:dyDescent="0.25">
      <c r="A21" s="3" t="s">
        <v>191</v>
      </c>
      <c r="B21" s="3">
        <v>60272</v>
      </c>
      <c r="C21" s="3" t="s">
        <v>248</v>
      </c>
      <c r="D21" s="3" t="s">
        <v>249</v>
      </c>
      <c r="E21" s="3" t="s">
        <v>250</v>
      </c>
      <c r="F21" s="3" t="s">
        <v>23</v>
      </c>
      <c r="G21" s="3"/>
      <c r="H21" s="3"/>
    </row>
    <row r="22" spans="1:8" ht="15.75" x14ac:dyDescent="0.25">
      <c r="A22" s="3" t="s">
        <v>191</v>
      </c>
      <c r="B22" s="3">
        <v>60293</v>
      </c>
      <c r="C22" s="3" t="s">
        <v>251</v>
      </c>
      <c r="D22" s="3" t="s">
        <v>252</v>
      </c>
      <c r="E22" s="3" t="s">
        <v>253</v>
      </c>
      <c r="F22" s="3" t="s">
        <v>23</v>
      </c>
      <c r="G22" s="3"/>
      <c r="H22" s="3"/>
    </row>
    <row r="23" spans="1:8" ht="15.75" x14ac:dyDescent="0.25">
      <c r="A23" s="3" t="s">
        <v>191</v>
      </c>
      <c r="B23" s="3">
        <v>60907</v>
      </c>
      <c r="C23" s="3" t="s">
        <v>254</v>
      </c>
      <c r="D23" s="3" t="s">
        <v>213</v>
      </c>
      <c r="E23" s="3" t="s">
        <v>214</v>
      </c>
      <c r="F23" s="3" t="s">
        <v>23</v>
      </c>
      <c r="G23" s="3"/>
      <c r="H23" s="3"/>
    </row>
    <row r="24" spans="1:8" ht="15.75" x14ac:dyDescent="0.25">
      <c r="A24" s="3" t="s">
        <v>191</v>
      </c>
      <c r="B24" s="3">
        <v>62031</v>
      </c>
      <c r="C24" s="3" t="s">
        <v>255</v>
      </c>
      <c r="D24" s="3" t="s">
        <v>256</v>
      </c>
      <c r="E24" s="3"/>
      <c r="F24" s="3" t="s">
        <v>23</v>
      </c>
      <c r="G24" s="3"/>
      <c r="H24" s="3"/>
    </row>
    <row r="25" spans="1:8" ht="15.75" x14ac:dyDescent="0.25">
      <c r="A25" s="3" t="s">
        <v>191</v>
      </c>
      <c r="B25" s="3">
        <v>62726</v>
      </c>
      <c r="C25" s="3" t="s">
        <v>257</v>
      </c>
      <c r="D25" s="3" t="s">
        <v>258</v>
      </c>
      <c r="E25" s="3" t="s">
        <v>259</v>
      </c>
      <c r="F25" s="3" t="s">
        <v>23</v>
      </c>
      <c r="G25" s="3"/>
      <c r="H25" s="3"/>
    </row>
    <row r="26" spans="1:8" ht="15.75" x14ac:dyDescent="0.25">
      <c r="A26" s="3" t="s">
        <v>191</v>
      </c>
      <c r="B26" s="3">
        <v>63330</v>
      </c>
      <c r="C26" s="3" t="s">
        <v>260</v>
      </c>
      <c r="D26" s="3" t="s">
        <v>261</v>
      </c>
      <c r="E26" s="3" t="s">
        <v>262</v>
      </c>
      <c r="F26" s="3" t="s">
        <v>23</v>
      </c>
      <c r="G26" s="3"/>
      <c r="H26" s="3"/>
    </row>
    <row r="27" spans="1:8" ht="15.75" x14ac:dyDescent="0.25">
      <c r="A27" s="3" t="s">
        <v>191</v>
      </c>
      <c r="B27" s="3">
        <v>64665</v>
      </c>
      <c r="C27" s="3" t="s">
        <v>263</v>
      </c>
      <c r="D27" s="3" t="s">
        <v>264</v>
      </c>
      <c r="E27" s="3" t="s">
        <v>265</v>
      </c>
      <c r="F27" s="3" t="s">
        <v>23</v>
      </c>
      <c r="G27" s="3"/>
      <c r="H27" s="3"/>
    </row>
    <row r="28" spans="1:8" ht="15.75" x14ac:dyDescent="0.25">
      <c r="A28" s="3" t="s">
        <v>191</v>
      </c>
      <c r="B28" s="3">
        <v>64893</v>
      </c>
      <c r="C28" s="3" t="s">
        <v>266</v>
      </c>
      <c r="D28" s="3" t="s">
        <v>258</v>
      </c>
      <c r="E28" s="3" t="s">
        <v>259</v>
      </c>
      <c r="F28" s="3" t="s">
        <v>23</v>
      </c>
      <c r="G28" s="3"/>
      <c r="H28" s="3"/>
    </row>
    <row r="29" spans="1:8" ht="15.75" x14ac:dyDescent="0.25">
      <c r="A29" s="3" t="s">
        <v>191</v>
      </c>
      <c r="B29" s="3">
        <v>65785</v>
      </c>
      <c r="C29" s="3" t="s">
        <v>267</v>
      </c>
      <c r="D29" s="3" t="s">
        <v>268</v>
      </c>
      <c r="E29" s="3" t="s">
        <v>269</v>
      </c>
      <c r="F29" s="3" t="s">
        <v>23</v>
      </c>
      <c r="G29" s="3"/>
      <c r="H29" s="3"/>
    </row>
    <row r="30" spans="1:8" ht="15.75" x14ac:dyDescent="0.25">
      <c r="A30" s="3" t="s">
        <v>191</v>
      </c>
      <c r="B30" s="3">
        <v>65944</v>
      </c>
      <c r="C30" s="3" t="s">
        <v>270</v>
      </c>
      <c r="D30" s="3" t="s">
        <v>271</v>
      </c>
      <c r="E30" s="3" t="s">
        <v>225</v>
      </c>
      <c r="F30" s="3" t="s">
        <v>23</v>
      </c>
      <c r="G30" s="3"/>
      <c r="H30" s="3"/>
    </row>
    <row r="31" spans="1:8" ht="15.75" x14ac:dyDescent="0.25">
      <c r="A31" s="3" t="s">
        <v>191</v>
      </c>
      <c r="B31" s="3">
        <v>66534</v>
      </c>
      <c r="C31" s="3" t="s">
        <v>272</v>
      </c>
      <c r="D31" s="3" t="s">
        <v>273</v>
      </c>
      <c r="E31" s="3" t="s">
        <v>274</v>
      </c>
      <c r="F31" s="3" t="s">
        <v>23</v>
      </c>
      <c r="G31" s="3"/>
      <c r="H31" s="3"/>
    </row>
    <row r="32" spans="1:8" ht="15.75" x14ac:dyDescent="0.25">
      <c r="A32" s="3" t="s">
        <v>191</v>
      </c>
      <c r="B32" s="3">
        <v>66964</v>
      </c>
      <c r="C32" s="3" t="s">
        <v>275</v>
      </c>
      <c r="D32" s="3" t="s">
        <v>276</v>
      </c>
      <c r="E32" s="3"/>
      <c r="F32" s="3" t="s">
        <v>23</v>
      </c>
      <c r="G32" s="3"/>
      <c r="H32" s="3"/>
    </row>
    <row r="33" spans="1:8" ht="15.75" x14ac:dyDescent="0.25">
      <c r="A33" s="3" t="s">
        <v>191</v>
      </c>
      <c r="B33" s="3">
        <v>66989</v>
      </c>
      <c r="C33" s="3" t="s">
        <v>277</v>
      </c>
      <c r="D33" s="3" t="s">
        <v>55</v>
      </c>
      <c r="E33" s="3" t="s">
        <v>278</v>
      </c>
      <c r="F33" s="3" t="s">
        <v>23</v>
      </c>
      <c r="G33" s="3"/>
      <c r="H33" s="3"/>
    </row>
    <row r="34" spans="1:8" ht="15.75" x14ac:dyDescent="0.25">
      <c r="A34" s="3" t="s">
        <v>191</v>
      </c>
      <c r="B34" s="3">
        <v>67022</v>
      </c>
      <c r="C34" s="3" t="s">
        <v>279</v>
      </c>
      <c r="D34" s="3" t="s">
        <v>280</v>
      </c>
      <c r="E34" s="3" t="s">
        <v>281</v>
      </c>
      <c r="F34" s="3" t="s">
        <v>23</v>
      </c>
      <c r="G34" s="3"/>
      <c r="H34" s="3"/>
    </row>
    <row r="35" spans="1:8" ht="15.75" x14ac:dyDescent="0.25">
      <c r="A35" s="3" t="s">
        <v>191</v>
      </c>
      <c r="B35" s="3">
        <v>67933</v>
      </c>
      <c r="C35" s="3" t="s">
        <v>282</v>
      </c>
      <c r="D35" s="3" t="s">
        <v>283</v>
      </c>
      <c r="E35" s="3" t="s">
        <v>284</v>
      </c>
      <c r="F35" s="3" t="s">
        <v>23</v>
      </c>
      <c r="G35" s="3"/>
      <c r="H35" s="3"/>
    </row>
    <row r="36" spans="1:8" ht="15.75" x14ac:dyDescent="0.25">
      <c r="A36" s="3" t="s">
        <v>191</v>
      </c>
      <c r="B36" s="3">
        <v>67984</v>
      </c>
      <c r="C36" s="3" t="s">
        <v>285</v>
      </c>
      <c r="D36" s="3" t="s">
        <v>286</v>
      </c>
      <c r="E36" s="3"/>
      <c r="F36" s="3" t="s">
        <v>23</v>
      </c>
      <c r="G36" s="3"/>
      <c r="H36" s="3"/>
    </row>
    <row r="37" spans="1:8" ht="15.75" x14ac:dyDescent="0.25">
      <c r="A37" s="3" t="s">
        <v>191</v>
      </c>
      <c r="B37" s="3">
        <v>68048</v>
      </c>
      <c r="C37" s="3" t="s">
        <v>287</v>
      </c>
      <c r="D37" s="3" t="s">
        <v>57</v>
      </c>
      <c r="E37" s="3" t="s">
        <v>288</v>
      </c>
      <c r="F37" s="3" t="s">
        <v>23</v>
      </c>
      <c r="G37" s="3"/>
      <c r="H37" s="3"/>
    </row>
    <row r="38" spans="1:8" ht="15.75" x14ac:dyDescent="0.25">
      <c r="A38" s="3" t="s">
        <v>191</v>
      </c>
      <c r="B38" s="3">
        <v>68506</v>
      </c>
      <c r="C38" s="3" t="s">
        <v>289</v>
      </c>
      <c r="D38" s="3" t="s">
        <v>283</v>
      </c>
      <c r="E38" s="3" t="s">
        <v>284</v>
      </c>
      <c r="F38" s="3" t="s">
        <v>23</v>
      </c>
      <c r="G38" s="3"/>
      <c r="H38" s="3"/>
    </row>
    <row r="39" spans="1:8" ht="15.75" x14ac:dyDescent="0.25">
      <c r="A39" s="3" t="s">
        <v>191</v>
      </c>
      <c r="B39" s="3">
        <v>69117</v>
      </c>
      <c r="C39" s="3" t="s">
        <v>290</v>
      </c>
      <c r="D39" s="3" t="s">
        <v>291</v>
      </c>
      <c r="E39" s="3" t="s">
        <v>292</v>
      </c>
      <c r="F39" s="3" t="s">
        <v>23</v>
      </c>
      <c r="G39" s="3"/>
      <c r="H39" s="3"/>
    </row>
    <row r="40" spans="1:8" ht="15.75" x14ac:dyDescent="0.25">
      <c r="A40" s="3" t="s">
        <v>191</v>
      </c>
      <c r="B40" s="3">
        <v>69304</v>
      </c>
      <c r="C40" s="3" t="s">
        <v>293</v>
      </c>
      <c r="D40" s="3" t="s">
        <v>294</v>
      </c>
      <c r="E40" s="3" t="s">
        <v>295</v>
      </c>
      <c r="F40" s="3" t="s">
        <v>23</v>
      </c>
      <c r="G40" s="3"/>
      <c r="H40" s="3"/>
    </row>
    <row r="41" spans="1:8" ht="15.75" x14ac:dyDescent="0.25">
      <c r="A41" s="3" t="s">
        <v>191</v>
      </c>
      <c r="B41" s="3">
        <v>70607</v>
      </c>
      <c r="C41" s="3" t="s">
        <v>296</v>
      </c>
      <c r="D41" s="3" t="s">
        <v>297</v>
      </c>
      <c r="E41" s="3" t="s">
        <v>298</v>
      </c>
      <c r="F41" s="3" t="s">
        <v>23</v>
      </c>
      <c r="G41" s="3"/>
      <c r="H41" s="3"/>
    </row>
    <row r="42" spans="1:8" ht="15.75" x14ac:dyDescent="0.25">
      <c r="A42" s="3" t="s">
        <v>191</v>
      </c>
      <c r="B42" s="3">
        <v>70859</v>
      </c>
      <c r="C42" s="3" t="s">
        <v>299</v>
      </c>
      <c r="D42" s="3" t="s">
        <v>300</v>
      </c>
      <c r="E42" s="3" t="s">
        <v>301</v>
      </c>
      <c r="F42" s="3" t="s">
        <v>23</v>
      </c>
      <c r="G42" s="3"/>
      <c r="H42" s="3"/>
    </row>
    <row r="43" spans="1:8" ht="15.75" x14ac:dyDescent="0.25">
      <c r="A43" s="3" t="s">
        <v>191</v>
      </c>
      <c r="B43" s="3">
        <v>71202</v>
      </c>
      <c r="C43" s="3" t="s">
        <v>302</v>
      </c>
      <c r="D43" s="3" t="s">
        <v>303</v>
      </c>
      <c r="E43" s="3" t="s">
        <v>304</v>
      </c>
      <c r="F43" s="3" t="s">
        <v>23</v>
      </c>
      <c r="G43" s="3"/>
      <c r="H43" s="3"/>
    </row>
    <row r="44" spans="1:8" ht="15.75" x14ac:dyDescent="0.25">
      <c r="A44" s="3" t="s">
        <v>191</v>
      </c>
      <c r="B44" s="3">
        <v>71434</v>
      </c>
      <c r="C44" s="3" t="s">
        <v>305</v>
      </c>
      <c r="D44" s="3" t="s">
        <v>306</v>
      </c>
      <c r="E44" s="3" t="s">
        <v>307</v>
      </c>
      <c r="F44" s="3" t="s">
        <v>23</v>
      </c>
      <c r="G44" s="3"/>
      <c r="H44" s="3"/>
    </row>
    <row r="45" spans="1:8" ht="15.75" x14ac:dyDescent="0.25">
      <c r="A45" s="3" t="s">
        <v>191</v>
      </c>
      <c r="B45" s="3">
        <v>71506</v>
      </c>
      <c r="C45" s="3" t="s">
        <v>308</v>
      </c>
      <c r="D45" s="3" t="s">
        <v>309</v>
      </c>
      <c r="E45" s="3" t="s">
        <v>310</v>
      </c>
      <c r="F45" s="3" t="s">
        <v>23</v>
      </c>
      <c r="G45" s="3"/>
      <c r="H45" s="3"/>
    </row>
    <row r="46" spans="1:8" ht="15.75" x14ac:dyDescent="0.25">
      <c r="A46" s="3" t="s">
        <v>191</v>
      </c>
      <c r="B46" s="3">
        <v>71574</v>
      </c>
      <c r="C46" s="3" t="s">
        <v>311</v>
      </c>
      <c r="D46" s="3" t="s">
        <v>312</v>
      </c>
      <c r="E46" s="3"/>
      <c r="F46" s="3" t="s">
        <v>23</v>
      </c>
      <c r="G46" s="3"/>
      <c r="H46" s="3"/>
    </row>
    <row r="47" spans="1:8" ht="15.75" x14ac:dyDescent="0.25">
      <c r="A47" s="3" t="s">
        <v>191</v>
      </c>
      <c r="B47" s="3">
        <v>71584</v>
      </c>
      <c r="C47" s="3" t="s">
        <v>266</v>
      </c>
      <c r="D47" s="3" t="s">
        <v>313</v>
      </c>
      <c r="E47" s="3" t="s">
        <v>314</v>
      </c>
      <c r="F47" s="3" t="s">
        <v>23</v>
      </c>
      <c r="G47" s="3"/>
      <c r="H47" s="3"/>
    </row>
    <row r="48" spans="1:8" ht="15.75" x14ac:dyDescent="0.25">
      <c r="A48" s="3" t="s">
        <v>191</v>
      </c>
      <c r="B48" s="3">
        <v>71722</v>
      </c>
      <c r="C48" s="3" t="s">
        <v>315</v>
      </c>
      <c r="D48" s="3" t="s">
        <v>316</v>
      </c>
      <c r="E48" s="3" t="s">
        <v>317</v>
      </c>
      <c r="F48" s="3" t="s">
        <v>23</v>
      </c>
      <c r="G48" s="3"/>
      <c r="H48" s="3"/>
    </row>
    <row r="49" spans="1:8" ht="15.75" x14ac:dyDescent="0.25">
      <c r="A49" s="3" t="s">
        <v>191</v>
      </c>
      <c r="B49" s="3">
        <v>71976</v>
      </c>
      <c r="C49" s="3" t="s">
        <v>318</v>
      </c>
      <c r="D49" s="3" t="s">
        <v>319</v>
      </c>
      <c r="E49" s="3"/>
      <c r="F49" s="3" t="s">
        <v>23</v>
      </c>
      <c r="G49" s="3"/>
      <c r="H49" s="3"/>
    </row>
    <row r="50" spans="1:8" ht="15.75" x14ac:dyDescent="0.25">
      <c r="A50" s="3" t="s">
        <v>191</v>
      </c>
      <c r="B50" s="3">
        <v>72282</v>
      </c>
      <c r="C50" s="3" t="s">
        <v>320</v>
      </c>
      <c r="D50" s="3" t="s">
        <v>321</v>
      </c>
      <c r="E50" s="3" t="s">
        <v>322</v>
      </c>
      <c r="F50" s="3" t="s">
        <v>23</v>
      </c>
      <c r="G50" s="3"/>
      <c r="H50" s="3"/>
    </row>
    <row r="51" spans="1:8" ht="15.75" x14ac:dyDescent="0.25">
      <c r="A51" s="3" t="s">
        <v>191</v>
      </c>
      <c r="B51" s="3">
        <v>72504</v>
      </c>
      <c r="C51" s="3" t="s">
        <v>323</v>
      </c>
      <c r="D51" s="3" t="s">
        <v>324</v>
      </c>
      <c r="E51" s="3" t="s">
        <v>325</v>
      </c>
      <c r="F51" s="3" t="s">
        <v>23</v>
      </c>
      <c r="G51" s="3"/>
      <c r="H51" s="3"/>
    </row>
    <row r="52" spans="1:8" ht="15.75" x14ac:dyDescent="0.25">
      <c r="A52" s="3" t="s">
        <v>191</v>
      </c>
      <c r="B52" s="3">
        <v>72558</v>
      </c>
      <c r="C52" s="3" t="s">
        <v>326</v>
      </c>
      <c r="D52" s="3" t="s">
        <v>327</v>
      </c>
      <c r="E52" s="3"/>
      <c r="F52" s="3" t="s">
        <v>23</v>
      </c>
      <c r="G52" s="3"/>
      <c r="H52" s="3"/>
    </row>
    <row r="53" spans="1:8" ht="15.75" x14ac:dyDescent="0.25">
      <c r="A53" s="3" t="s">
        <v>191</v>
      </c>
      <c r="B53" s="3">
        <v>73113</v>
      </c>
      <c r="C53" s="3" t="s">
        <v>328</v>
      </c>
      <c r="D53" s="3" t="s">
        <v>329</v>
      </c>
      <c r="E53" s="3" t="s">
        <v>330</v>
      </c>
      <c r="F53" s="3" t="s">
        <v>23</v>
      </c>
      <c r="G53" s="3"/>
      <c r="H53" s="3"/>
    </row>
    <row r="54" spans="1:8" ht="15.75" x14ac:dyDescent="0.25">
      <c r="A54" s="3" t="s">
        <v>191</v>
      </c>
      <c r="B54" s="3">
        <v>73400</v>
      </c>
      <c r="C54" s="3" t="s">
        <v>331</v>
      </c>
      <c r="D54" s="3" t="s">
        <v>332</v>
      </c>
      <c r="E54" s="3"/>
      <c r="F54" s="3" t="s">
        <v>23</v>
      </c>
      <c r="G54" s="3"/>
      <c r="H54" s="3"/>
    </row>
    <row r="55" spans="1:8" ht="15.75" x14ac:dyDescent="0.25">
      <c r="A55" s="3" t="s">
        <v>193</v>
      </c>
      <c r="B55" s="3">
        <v>3097</v>
      </c>
      <c r="C55" s="3" t="s">
        <v>333</v>
      </c>
      <c r="D55" s="3"/>
      <c r="E55" s="3"/>
      <c r="F55" s="3" t="s">
        <v>24</v>
      </c>
      <c r="G55" s="3"/>
      <c r="H55" s="3"/>
    </row>
    <row r="56" spans="1:8" ht="15.75" x14ac:dyDescent="0.25">
      <c r="A56" s="3" t="s">
        <v>193</v>
      </c>
      <c r="B56" s="3">
        <v>8808</v>
      </c>
      <c r="C56" s="3" t="s">
        <v>334</v>
      </c>
      <c r="D56" s="3"/>
      <c r="E56" s="3"/>
      <c r="F56" s="3" t="s">
        <v>24</v>
      </c>
      <c r="G56" s="3"/>
      <c r="H56" s="3"/>
    </row>
    <row r="57" spans="1:8" ht="15.75" x14ac:dyDescent="0.25">
      <c r="A57" s="3" t="s">
        <v>193</v>
      </c>
      <c r="B57" s="3">
        <v>22360</v>
      </c>
      <c r="C57" s="3" t="s">
        <v>335</v>
      </c>
      <c r="D57" s="3"/>
      <c r="E57" s="3"/>
      <c r="F57" s="3" t="s">
        <v>24</v>
      </c>
      <c r="G57" s="3"/>
      <c r="H57" s="3"/>
    </row>
    <row r="58" spans="1:8" ht="15.75" x14ac:dyDescent="0.25">
      <c r="A58" s="3" t="s">
        <v>193</v>
      </c>
      <c r="B58" s="3">
        <v>24277</v>
      </c>
      <c r="C58" s="3" t="s">
        <v>336</v>
      </c>
      <c r="D58" s="3"/>
      <c r="E58" s="3"/>
      <c r="F58" s="3" t="s">
        <v>24</v>
      </c>
      <c r="G58" s="3"/>
      <c r="H58" s="3"/>
    </row>
    <row r="59" spans="1:8" ht="15.75" x14ac:dyDescent="0.25">
      <c r="A59" s="3" t="s">
        <v>193</v>
      </c>
      <c r="B59" s="3">
        <v>24578</v>
      </c>
      <c r="C59" s="3" t="s">
        <v>337</v>
      </c>
      <c r="D59" s="3"/>
      <c r="E59" s="3"/>
      <c r="F59" s="3" t="s">
        <v>24</v>
      </c>
      <c r="G59" s="3"/>
      <c r="H59" s="3"/>
    </row>
    <row r="60" spans="1:8" ht="15.75" x14ac:dyDescent="0.25">
      <c r="A60" s="3" t="s">
        <v>193</v>
      </c>
      <c r="B60" s="3">
        <v>27850</v>
      </c>
      <c r="C60" s="3" t="s">
        <v>338</v>
      </c>
      <c r="D60" s="3"/>
      <c r="E60" s="3"/>
      <c r="F60" s="3" t="s">
        <v>24</v>
      </c>
      <c r="G60" s="3"/>
      <c r="H60" s="3"/>
    </row>
    <row r="61" spans="1:8" ht="15.75" x14ac:dyDescent="0.25">
      <c r="A61" s="3" t="s">
        <v>193</v>
      </c>
      <c r="B61" s="3">
        <v>31516</v>
      </c>
      <c r="C61" s="3" t="s">
        <v>339</v>
      </c>
      <c r="D61" s="3"/>
      <c r="E61" s="3"/>
      <c r="F61" s="3" t="s">
        <v>24</v>
      </c>
      <c r="G61" s="3"/>
      <c r="H61" s="3"/>
    </row>
    <row r="62" spans="1:8" ht="15.75" x14ac:dyDescent="0.25">
      <c r="A62" s="3" t="s">
        <v>193</v>
      </c>
      <c r="B62" s="3">
        <v>31517</v>
      </c>
      <c r="C62" s="3" t="s">
        <v>340</v>
      </c>
      <c r="D62" s="3"/>
      <c r="E62" s="3"/>
      <c r="F62" s="3" t="s">
        <v>24</v>
      </c>
      <c r="G62" s="3"/>
      <c r="H62" s="3"/>
    </row>
    <row r="63" spans="1:8" ht="15.75" x14ac:dyDescent="0.25">
      <c r="A63" s="3" t="s">
        <v>193</v>
      </c>
      <c r="B63" s="3">
        <v>35054</v>
      </c>
      <c r="C63" s="3" t="s">
        <v>341</v>
      </c>
      <c r="D63" s="3"/>
      <c r="E63" s="3"/>
      <c r="F63" s="3" t="s">
        <v>24</v>
      </c>
      <c r="G63" s="3"/>
      <c r="H63" s="3"/>
    </row>
    <row r="64" spans="1:8" ht="15.75" x14ac:dyDescent="0.25">
      <c r="A64" s="3" t="s">
        <v>193</v>
      </c>
      <c r="B64" s="3">
        <v>37547</v>
      </c>
      <c r="C64" s="3" t="s">
        <v>342</v>
      </c>
      <c r="D64" s="3"/>
      <c r="E64" s="3"/>
      <c r="F64" s="3" t="s">
        <v>24</v>
      </c>
      <c r="G64" s="3"/>
      <c r="H64" s="3"/>
    </row>
    <row r="65" spans="1:8" ht="15.75" x14ac:dyDescent="0.25">
      <c r="A65" s="3" t="s">
        <v>193</v>
      </c>
      <c r="B65" s="3">
        <v>40305</v>
      </c>
      <c r="C65" s="3" t="s">
        <v>343</v>
      </c>
      <c r="D65" s="3"/>
      <c r="E65" s="3"/>
      <c r="F65" s="3" t="s">
        <v>24</v>
      </c>
      <c r="G65" s="3"/>
      <c r="H65" s="3"/>
    </row>
    <row r="66" spans="1:8" ht="15.75" x14ac:dyDescent="0.25">
      <c r="A66" s="3" t="s">
        <v>193</v>
      </c>
      <c r="B66" s="3">
        <v>40815</v>
      </c>
      <c r="C66" s="3" t="s">
        <v>344</v>
      </c>
      <c r="D66" s="3"/>
      <c r="E66" s="3"/>
      <c r="F66" s="3" t="s">
        <v>24</v>
      </c>
      <c r="G66" s="3"/>
      <c r="H66" s="3"/>
    </row>
    <row r="67" spans="1:8" ht="15.75" x14ac:dyDescent="0.25">
      <c r="A67" s="3" t="s">
        <v>193</v>
      </c>
      <c r="B67" s="3">
        <v>46108</v>
      </c>
      <c r="C67" s="3" t="s">
        <v>345</v>
      </c>
      <c r="D67" s="3"/>
      <c r="E67" s="3"/>
      <c r="F67" s="3" t="s">
        <v>24</v>
      </c>
      <c r="G67" s="3"/>
      <c r="H67" s="3"/>
    </row>
    <row r="68" spans="1:8" ht="15.75" x14ac:dyDescent="0.25">
      <c r="A68" s="3" t="s">
        <v>193</v>
      </c>
      <c r="B68" s="3">
        <v>46455</v>
      </c>
      <c r="C68" s="3" t="s">
        <v>346</v>
      </c>
      <c r="D68" s="3"/>
      <c r="E68" s="3"/>
      <c r="F68" s="3" t="s">
        <v>24</v>
      </c>
      <c r="G68" s="3"/>
      <c r="H68" s="3"/>
    </row>
    <row r="69" spans="1:8" ht="15.75" x14ac:dyDescent="0.25">
      <c r="A69" s="3" t="s">
        <v>193</v>
      </c>
      <c r="B69" s="3">
        <v>46458</v>
      </c>
      <c r="C69" s="3" t="s">
        <v>347</v>
      </c>
      <c r="D69" s="3"/>
      <c r="E69" s="3"/>
      <c r="F69" s="3" t="s">
        <v>24</v>
      </c>
      <c r="G69" s="3"/>
      <c r="H69" s="3"/>
    </row>
    <row r="70" spans="1:8" ht="15.75" x14ac:dyDescent="0.25">
      <c r="A70" s="3" t="s">
        <v>193</v>
      </c>
      <c r="B70" s="3">
        <v>52367</v>
      </c>
      <c r="C70" s="3" t="s">
        <v>348</v>
      </c>
      <c r="D70" s="3"/>
      <c r="E70" s="3"/>
      <c r="F70" s="3" t="s">
        <v>24</v>
      </c>
      <c r="G70" s="3"/>
      <c r="H70" s="3"/>
    </row>
    <row r="71" spans="1:8" ht="15.75" x14ac:dyDescent="0.25">
      <c r="A71" s="3" t="s">
        <v>193</v>
      </c>
      <c r="B71" s="3">
        <v>53732</v>
      </c>
      <c r="C71" s="3" t="s">
        <v>349</v>
      </c>
      <c r="D71" s="3"/>
      <c r="E71" s="3"/>
      <c r="F71" s="3" t="s">
        <v>24</v>
      </c>
      <c r="G71" s="3"/>
      <c r="H71" s="3"/>
    </row>
    <row r="72" spans="1:8" ht="15.75" x14ac:dyDescent="0.25">
      <c r="A72" s="3" t="s">
        <v>193</v>
      </c>
      <c r="B72" s="3">
        <v>53738</v>
      </c>
      <c r="C72" s="3" t="s">
        <v>350</v>
      </c>
      <c r="D72" s="3"/>
      <c r="E72" s="3"/>
      <c r="F72" s="3" t="s">
        <v>24</v>
      </c>
      <c r="G72" s="3"/>
      <c r="H72" s="3"/>
    </row>
    <row r="73" spans="1:8" ht="15.75" x14ac:dyDescent="0.25">
      <c r="A73" s="3" t="s">
        <v>193</v>
      </c>
      <c r="B73" s="3">
        <v>55212</v>
      </c>
      <c r="C73" s="3" t="s">
        <v>351</v>
      </c>
      <c r="D73" s="3"/>
      <c r="E73" s="3"/>
      <c r="F73" s="3" t="s">
        <v>24</v>
      </c>
      <c r="G73" s="3"/>
      <c r="H73" s="3"/>
    </row>
    <row r="74" spans="1:8" ht="15.75" x14ac:dyDescent="0.25">
      <c r="A74" s="3" t="s">
        <v>193</v>
      </c>
      <c r="B74" s="3">
        <v>55755</v>
      </c>
      <c r="C74" s="3" t="s">
        <v>352</v>
      </c>
      <c r="D74" s="3"/>
      <c r="E74" s="3"/>
      <c r="F74" s="3" t="s">
        <v>24</v>
      </c>
      <c r="G74" s="3"/>
      <c r="H74" s="3"/>
    </row>
    <row r="75" spans="1:8" ht="15.75" x14ac:dyDescent="0.25">
      <c r="A75" s="3" t="s">
        <v>193</v>
      </c>
      <c r="B75" s="3">
        <v>56353</v>
      </c>
      <c r="C75" s="3" t="s">
        <v>353</v>
      </c>
      <c r="D75" s="3"/>
      <c r="E75" s="3"/>
      <c r="F75" s="3" t="s">
        <v>24</v>
      </c>
      <c r="G75" s="3"/>
      <c r="H75" s="3"/>
    </row>
    <row r="76" spans="1:8" ht="15.75" x14ac:dyDescent="0.25">
      <c r="A76" s="3" t="s">
        <v>193</v>
      </c>
      <c r="B76" s="3">
        <v>56532</v>
      </c>
      <c r="C76" s="3" t="s">
        <v>354</v>
      </c>
      <c r="D76" s="3"/>
      <c r="E76" s="3"/>
      <c r="F76" s="3" t="s">
        <v>24</v>
      </c>
      <c r="G76" s="3"/>
      <c r="H76" s="3"/>
    </row>
    <row r="77" spans="1:8" ht="15.75" x14ac:dyDescent="0.25">
      <c r="A77" s="3" t="s">
        <v>193</v>
      </c>
      <c r="B77" s="3">
        <v>58900</v>
      </c>
      <c r="C77" s="3" t="s">
        <v>355</v>
      </c>
      <c r="D77" s="3"/>
      <c r="E77" s="3"/>
      <c r="F77" s="3" t="s">
        <v>24</v>
      </c>
      <c r="G77" s="3"/>
      <c r="H77" s="3"/>
    </row>
    <row r="78" spans="1:8" ht="15.75" x14ac:dyDescent="0.25">
      <c r="A78" s="3" t="s">
        <v>193</v>
      </c>
      <c r="B78" s="3">
        <v>59752</v>
      </c>
      <c r="C78" s="3" t="s">
        <v>356</v>
      </c>
      <c r="D78" s="3"/>
      <c r="E78" s="3"/>
      <c r="F78" s="3" t="s">
        <v>24</v>
      </c>
      <c r="G78" s="3"/>
      <c r="H78" s="3"/>
    </row>
    <row r="79" spans="1:8" ht="15.75" x14ac:dyDescent="0.25">
      <c r="A79" s="3" t="s">
        <v>193</v>
      </c>
      <c r="B79" s="3">
        <v>59971</v>
      </c>
      <c r="C79" s="3" t="s">
        <v>357</v>
      </c>
      <c r="D79" s="3"/>
      <c r="E79" s="3"/>
      <c r="F79" s="3" t="s">
        <v>24</v>
      </c>
      <c r="G79" s="3"/>
      <c r="H79" s="3"/>
    </row>
    <row r="80" spans="1:8" ht="15.75" x14ac:dyDescent="0.25">
      <c r="A80" s="3" t="s">
        <v>193</v>
      </c>
      <c r="B80" s="3">
        <v>60386</v>
      </c>
      <c r="C80" s="3" t="s">
        <v>358</v>
      </c>
      <c r="D80" s="3"/>
      <c r="E80" s="3"/>
      <c r="F80" s="3" t="s">
        <v>24</v>
      </c>
      <c r="G80" s="3"/>
      <c r="H80" s="3"/>
    </row>
    <row r="81" spans="1:8" ht="15.75" x14ac:dyDescent="0.25">
      <c r="A81" s="3" t="s">
        <v>193</v>
      </c>
      <c r="B81" s="3">
        <v>60463</v>
      </c>
      <c r="C81" s="3" t="s">
        <v>359</v>
      </c>
      <c r="D81" s="3"/>
      <c r="E81" s="3"/>
      <c r="F81" s="3" t="s">
        <v>24</v>
      </c>
      <c r="G81" s="3"/>
      <c r="H81" s="3"/>
    </row>
    <row r="82" spans="1:8" ht="15.75" x14ac:dyDescent="0.25">
      <c r="A82" s="3" t="s">
        <v>193</v>
      </c>
      <c r="B82" s="3">
        <v>60627</v>
      </c>
      <c r="C82" s="3" t="s">
        <v>360</v>
      </c>
      <c r="D82" s="3"/>
      <c r="E82" s="3"/>
      <c r="F82" s="3" t="s">
        <v>24</v>
      </c>
      <c r="G82" s="3"/>
      <c r="H82" s="3"/>
    </row>
    <row r="83" spans="1:8" ht="15.75" x14ac:dyDescent="0.25">
      <c r="A83" s="3" t="s">
        <v>193</v>
      </c>
      <c r="B83" s="3">
        <v>60769</v>
      </c>
      <c r="C83" s="3" t="s">
        <v>361</v>
      </c>
      <c r="D83" s="3"/>
      <c r="E83" s="3"/>
      <c r="F83" s="3" t="s">
        <v>24</v>
      </c>
      <c r="G83" s="3"/>
      <c r="H83" s="3"/>
    </row>
    <row r="84" spans="1:8" ht="15.75" x14ac:dyDescent="0.25">
      <c r="A84" s="3" t="s">
        <v>193</v>
      </c>
      <c r="B84" s="3">
        <v>60911</v>
      </c>
      <c r="C84" s="3" t="s">
        <v>362</v>
      </c>
      <c r="D84" s="3"/>
      <c r="E84" s="3"/>
      <c r="F84" s="3" t="s">
        <v>24</v>
      </c>
      <c r="G84" s="3"/>
      <c r="H84" s="3"/>
    </row>
    <row r="85" spans="1:8" ht="15.75" x14ac:dyDescent="0.25">
      <c r="A85" s="3" t="s">
        <v>193</v>
      </c>
      <c r="B85" s="3">
        <v>61208</v>
      </c>
      <c r="C85" s="3" t="s">
        <v>363</v>
      </c>
      <c r="D85" s="3"/>
      <c r="E85" s="3"/>
      <c r="F85" s="3" t="s">
        <v>24</v>
      </c>
      <c r="G85" s="3"/>
      <c r="H85" s="3"/>
    </row>
    <row r="86" spans="1:8" ht="15.75" x14ac:dyDescent="0.25">
      <c r="A86" s="3" t="s">
        <v>193</v>
      </c>
      <c r="B86" s="3">
        <v>62583</v>
      </c>
      <c r="C86" s="3" t="s">
        <v>364</v>
      </c>
      <c r="D86" s="3"/>
      <c r="E86" s="3"/>
      <c r="F86" s="3" t="s">
        <v>24</v>
      </c>
      <c r="G86" s="3"/>
      <c r="H86" s="3"/>
    </row>
    <row r="87" spans="1:8" ht="15.75" x14ac:dyDescent="0.25">
      <c r="A87" s="3" t="s">
        <v>193</v>
      </c>
      <c r="B87" s="3">
        <v>63140</v>
      </c>
      <c r="C87" s="3" t="s">
        <v>365</v>
      </c>
      <c r="D87" s="3"/>
      <c r="E87" s="3"/>
      <c r="F87" s="3" t="s">
        <v>24</v>
      </c>
      <c r="G87" s="3"/>
      <c r="H87" s="3"/>
    </row>
    <row r="88" spans="1:8" ht="15.75" x14ac:dyDescent="0.25">
      <c r="A88" s="3" t="s">
        <v>193</v>
      </c>
      <c r="B88" s="3">
        <v>63141</v>
      </c>
      <c r="C88" s="3" t="s">
        <v>366</v>
      </c>
      <c r="D88" s="3"/>
      <c r="E88" s="3"/>
      <c r="F88" s="3" t="s">
        <v>24</v>
      </c>
      <c r="G88" s="3"/>
      <c r="H88" s="3"/>
    </row>
    <row r="89" spans="1:8" ht="15.75" x14ac:dyDescent="0.25">
      <c r="A89" s="3" t="s">
        <v>193</v>
      </c>
      <c r="B89" s="3">
        <v>63326</v>
      </c>
      <c r="C89" s="3" t="s">
        <v>367</v>
      </c>
      <c r="D89" s="3"/>
      <c r="E89" s="3"/>
      <c r="F89" s="3" t="s">
        <v>24</v>
      </c>
      <c r="G89" s="3"/>
      <c r="H89" s="3"/>
    </row>
    <row r="90" spans="1:8" ht="15.75" x14ac:dyDescent="0.25">
      <c r="A90" s="3" t="s">
        <v>193</v>
      </c>
      <c r="B90" s="3">
        <v>63622</v>
      </c>
      <c r="C90" s="3" t="s">
        <v>368</v>
      </c>
      <c r="D90" s="3"/>
      <c r="E90" s="3"/>
      <c r="F90" s="3" t="s">
        <v>24</v>
      </c>
      <c r="G90" s="3"/>
      <c r="H90" s="3"/>
    </row>
    <row r="91" spans="1:8" ht="15.75" x14ac:dyDescent="0.25">
      <c r="A91" s="3" t="s">
        <v>193</v>
      </c>
      <c r="B91" s="3">
        <v>65135</v>
      </c>
      <c r="C91" s="3" t="s">
        <v>369</v>
      </c>
      <c r="D91" s="3"/>
      <c r="E91" s="3"/>
      <c r="F91" s="3" t="s">
        <v>24</v>
      </c>
      <c r="G91" s="3"/>
      <c r="H91" s="3"/>
    </row>
    <row r="92" spans="1:8" ht="15.75" x14ac:dyDescent="0.25">
      <c r="A92" s="3" t="s">
        <v>193</v>
      </c>
      <c r="B92" s="3">
        <v>65394</v>
      </c>
      <c r="C92" s="3" t="s">
        <v>370</v>
      </c>
      <c r="D92" s="3"/>
      <c r="E92" s="3"/>
      <c r="F92" s="3" t="s">
        <v>24</v>
      </c>
      <c r="G92" s="3"/>
      <c r="H92" s="3"/>
    </row>
    <row r="93" spans="1:8" ht="15.75" x14ac:dyDescent="0.25">
      <c r="A93" s="3" t="s">
        <v>193</v>
      </c>
      <c r="B93" s="3">
        <v>65427</v>
      </c>
      <c r="C93" s="3" t="s">
        <v>371</v>
      </c>
      <c r="D93" s="3"/>
      <c r="E93" s="3"/>
      <c r="F93" s="3" t="s">
        <v>24</v>
      </c>
      <c r="G93" s="3"/>
      <c r="H93" s="3"/>
    </row>
    <row r="94" spans="1:8" ht="15.75" x14ac:dyDescent="0.25">
      <c r="A94" s="3" t="s">
        <v>193</v>
      </c>
      <c r="B94" s="3">
        <v>65554</v>
      </c>
      <c r="C94" s="3" t="s">
        <v>372</v>
      </c>
      <c r="D94" s="3"/>
      <c r="E94" s="3"/>
      <c r="F94" s="3" t="s">
        <v>24</v>
      </c>
      <c r="G94" s="3"/>
      <c r="H94" s="3"/>
    </row>
    <row r="95" spans="1:8" ht="15.75" x14ac:dyDescent="0.25">
      <c r="A95" s="3" t="s">
        <v>193</v>
      </c>
      <c r="B95" s="3">
        <v>65737</v>
      </c>
      <c r="C95" s="3" t="s">
        <v>373</v>
      </c>
      <c r="D95" s="3"/>
      <c r="E95" s="3"/>
      <c r="F95" s="3" t="s">
        <v>24</v>
      </c>
      <c r="G95" s="3"/>
      <c r="H95" s="3"/>
    </row>
    <row r="96" spans="1:8" ht="15.75" x14ac:dyDescent="0.25">
      <c r="A96" s="3" t="s">
        <v>193</v>
      </c>
      <c r="B96" s="3">
        <v>66485</v>
      </c>
      <c r="C96" s="3" t="s">
        <v>374</v>
      </c>
      <c r="D96" s="3"/>
      <c r="E96" s="3"/>
      <c r="F96" s="3" t="s">
        <v>24</v>
      </c>
      <c r="G96" s="3"/>
      <c r="H96" s="3"/>
    </row>
    <row r="97" spans="1:8" ht="15.75" x14ac:dyDescent="0.25">
      <c r="A97" s="3" t="s">
        <v>193</v>
      </c>
      <c r="B97" s="3">
        <v>67083</v>
      </c>
      <c r="C97" s="3" t="s">
        <v>375</v>
      </c>
      <c r="D97" s="3"/>
      <c r="E97" s="3"/>
      <c r="F97" s="3" t="s">
        <v>24</v>
      </c>
      <c r="G97" s="3"/>
      <c r="H97" s="3"/>
    </row>
    <row r="98" spans="1:8" ht="15.75" x14ac:dyDescent="0.25">
      <c r="A98" s="3" t="s">
        <v>193</v>
      </c>
      <c r="B98" s="3">
        <v>67978</v>
      </c>
      <c r="C98" s="3" t="s">
        <v>376</v>
      </c>
      <c r="D98" s="3"/>
      <c r="E98" s="3"/>
      <c r="F98" s="3" t="s">
        <v>24</v>
      </c>
      <c r="G98" s="3"/>
      <c r="H98" s="3"/>
    </row>
    <row r="99" spans="1:8" ht="15.75" x14ac:dyDescent="0.25">
      <c r="A99" s="3" t="s">
        <v>193</v>
      </c>
      <c r="B99" s="3">
        <v>68236</v>
      </c>
      <c r="C99" s="3" t="s">
        <v>377</v>
      </c>
      <c r="D99" s="3"/>
      <c r="E99" s="3"/>
      <c r="F99" s="3" t="s">
        <v>24</v>
      </c>
      <c r="G99" s="3"/>
      <c r="H99" s="3"/>
    </row>
    <row r="100" spans="1:8" ht="15.75" x14ac:dyDescent="0.25">
      <c r="A100" s="3" t="s">
        <v>193</v>
      </c>
      <c r="B100" s="3">
        <v>70505</v>
      </c>
      <c r="C100" s="3" t="s">
        <v>378</v>
      </c>
      <c r="D100" s="3"/>
      <c r="E100" s="3"/>
      <c r="F100" s="3" t="s">
        <v>24</v>
      </c>
      <c r="G100" s="3"/>
      <c r="H100" s="3"/>
    </row>
    <row r="101" spans="1:8" ht="15.75" x14ac:dyDescent="0.25">
      <c r="A101" s="3" t="s">
        <v>193</v>
      </c>
      <c r="B101" s="3">
        <v>70646</v>
      </c>
      <c r="C101" s="3" t="s">
        <v>379</v>
      </c>
      <c r="D101" s="3"/>
      <c r="E101" s="3"/>
      <c r="F101" s="3" t="s">
        <v>24</v>
      </c>
      <c r="G101" s="3"/>
      <c r="H101" s="3"/>
    </row>
    <row r="102" spans="1:8" ht="15.75" x14ac:dyDescent="0.25">
      <c r="A102" s="3" t="s">
        <v>193</v>
      </c>
      <c r="B102" s="3">
        <v>70668</v>
      </c>
      <c r="C102" s="3" t="s">
        <v>380</v>
      </c>
      <c r="D102" s="3"/>
      <c r="E102" s="3"/>
      <c r="F102" s="3" t="s">
        <v>24</v>
      </c>
      <c r="G102" s="3"/>
      <c r="H102" s="3"/>
    </row>
    <row r="103" spans="1:8" ht="15.75" x14ac:dyDescent="0.25">
      <c r="A103" s="3" t="s">
        <v>193</v>
      </c>
      <c r="B103" s="3">
        <v>70799</v>
      </c>
      <c r="C103" s="3" t="s">
        <v>381</v>
      </c>
      <c r="D103" s="3"/>
      <c r="E103" s="3"/>
      <c r="F103" s="3" t="s">
        <v>24</v>
      </c>
      <c r="G103" s="3"/>
      <c r="H103" s="3"/>
    </row>
    <row r="104" spans="1:8" ht="15.75" x14ac:dyDescent="0.25">
      <c r="A104" s="3" t="s">
        <v>193</v>
      </c>
      <c r="B104" s="3">
        <v>70996</v>
      </c>
      <c r="C104" s="3" t="s">
        <v>382</v>
      </c>
      <c r="D104" s="3"/>
      <c r="E104" s="3"/>
      <c r="F104" s="3" t="s">
        <v>24</v>
      </c>
      <c r="G104" s="3"/>
      <c r="H104" s="3"/>
    </row>
    <row r="105" spans="1:8" ht="15.75" x14ac:dyDescent="0.25">
      <c r="A105" s="3" t="s">
        <v>193</v>
      </c>
      <c r="B105" s="3">
        <v>71453</v>
      </c>
      <c r="C105" s="3" t="s">
        <v>383</v>
      </c>
      <c r="D105" s="3"/>
      <c r="E105" s="3"/>
      <c r="F105" s="3" t="s">
        <v>24</v>
      </c>
      <c r="G105" s="3"/>
      <c r="H105" s="3"/>
    </row>
    <row r="106" spans="1:8" ht="15.75" x14ac:dyDescent="0.25">
      <c r="A106" s="3" t="s">
        <v>193</v>
      </c>
      <c r="B106" s="3">
        <v>71532</v>
      </c>
      <c r="C106" s="3" t="s">
        <v>384</v>
      </c>
      <c r="D106" s="3"/>
      <c r="E106" s="3"/>
      <c r="F106" s="3" t="s">
        <v>24</v>
      </c>
      <c r="G106" s="3"/>
      <c r="H106" s="3"/>
    </row>
    <row r="107" spans="1:8" ht="15.75" x14ac:dyDescent="0.25">
      <c r="A107" s="3" t="s">
        <v>193</v>
      </c>
      <c r="B107" s="3">
        <v>71710</v>
      </c>
      <c r="C107" s="3" t="s">
        <v>385</v>
      </c>
      <c r="D107" s="3"/>
      <c r="E107" s="3"/>
      <c r="F107" s="3" t="s">
        <v>24</v>
      </c>
      <c r="G107" s="3"/>
      <c r="H107" s="3"/>
    </row>
    <row r="108" spans="1:8" ht="15.75" x14ac:dyDescent="0.25">
      <c r="A108" s="3" t="s">
        <v>193</v>
      </c>
      <c r="B108" s="3">
        <v>71724</v>
      </c>
      <c r="C108" s="3" t="s">
        <v>386</v>
      </c>
      <c r="D108" s="3"/>
      <c r="E108" s="3"/>
      <c r="F108" s="3" t="s">
        <v>24</v>
      </c>
      <c r="G108" s="3"/>
      <c r="H108" s="3"/>
    </row>
    <row r="109" spans="1:8" ht="15.75" x14ac:dyDescent="0.25">
      <c r="A109" s="3" t="s">
        <v>193</v>
      </c>
      <c r="B109" s="3">
        <v>71791</v>
      </c>
      <c r="C109" s="3" t="s">
        <v>387</v>
      </c>
      <c r="D109" s="3"/>
      <c r="E109" s="3"/>
      <c r="F109" s="3" t="s">
        <v>24</v>
      </c>
      <c r="G109" s="3"/>
      <c r="H109" s="3"/>
    </row>
    <row r="110" spans="1:8" ht="15.75" x14ac:dyDescent="0.25">
      <c r="A110" s="3" t="s">
        <v>193</v>
      </c>
      <c r="B110" s="3">
        <v>71838</v>
      </c>
      <c r="C110" s="3" t="s">
        <v>388</v>
      </c>
      <c r="D110" s="3"/>
      <c r="E110" s="3"/>
      <c r="F110" s="3" t="s">
        <v>24</v>
      </c>
      <c r="G110" s="3"/>
      <c r="H110" s="3"/>
    </row>
    <row r="111" spans="1:8" ht="15.75" x14ac:dyDescent="0.25">
      <c r="A111" s="3" t="s">
        <v>193</v>
      </c>
      <c r="B111" s="3">
        <v>71844</v>
      </c>
      <c r="C111" s="3" t="s">
        <v>389</v>
      </c>
      <c r="D111" s="3"/>
      <c r="E111" s="3"/>
      <c r="F111" s="3" t="s">
        <v>24</v>
      </c>
      <c r="G111" s="3"/>
      <c r="H111" s="3"/>
    </row>
    <row r="112" spans="1:8" ht="15.75" x14ac:dyDescent="0.25">
      <c r="A112" s="3" t="s">
        <v>193</v>
      </c>
      <c r="B112" s="3">
        <v>72103</v>
      </c>
      <c r="C112" s="3" t="s">
        <v>390</v>
      </c>
      <c r="D112" s="3"/>
      <c r="E112" s="3"/>
      <c r="F112" s="3" t="s">
        <v>24</v>
      </c>
      <c r="G112" s="3"/>
      <c r="H112" s="3"/>
    </row>
    <row r="113" spans="1:8" ht="15.75" x14ac:dyDescent="0.25">
      <c r="A113" s="3" t="s">
        <v>193</v>
      </c>
      <c r="B113" s="3">
        <v>72774</v>
      </c>
      <c r="C113" s="3" t="s">
        <v>391</v>
      </c>
      <c r="D113" s="3"/>
      <c r="E113" s="3"/>
      <c r="F113" s="3" t="s">
        <v>24</v>
      </c>
      <c r="G113" s="3"/>
      <c r="H113" s="3"/>
    </row>
    <row r="114" spans="1:8" ht="15.75" x14ac:dyDescent="0.25">
      <c r="A114" s="3" t="s">
        <v>193</v>
      </c>
      <c r="B114" s="3">
        <v>73355</v>
      </c>
      <c r="C114" s="3" t="s">
        <v>392</v>
      </c>
      <c r="D114" s="3"/>
      <c r="E114" s="3"/>
      <c r="F114" s="3" t="s">
        <v>24</v>
      </c>
      <c r="G114" s="3"/>
      <c r="H114" s="3"/>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072F-C4AD-43CC-9E5A-55895DD8C7E0}">
  <dimension ref="A1:B4"/>
  <sheetViews>
    <sheetView workbookViewId="0">
      <selection activeCell="B4" sqref="B4"/>
    </sheetView>
  </sheetViews>
  <sheetFormatPr defaultRowHeight="15" x14ac:dyDescent="0.25"/>
  <cols>
    <col min="1" max="1" width="20.42578125" customWidth="1"/>
    <col min="2" max="2" width="52.42578125" customWidth="1"/>
  </cols>
  <sheetData>
    <row r="1" spans="1:2" x14ac:dyDescent="0.25">
      <c r="A1" t="s">
        <v>45</v>
      </c>
      <c r="B1" t="s">
        <v>46</v>
      </c>
    </row>
    <row r="2" spans="1:2" x14ac:dyDescent="0.25">
      <c r="A2" s="1" t="s">
        <v>13</v>
      </c>
      <c r="B2" s="1">
        <v>2025</v>
      </c>
    </row>
    <row r="3" spans="1:2" x14ac:dyDescent="0.25">
      <c r="A3" s="1" t="s">
        <v>14</v>
      </c>
      <c r="B3" s="1" t="s">
        <v>48</v>
      </c>
    </row>
    <row r="4" spans="1:2" x14ac:dyDescent="0.25">
      <c r="A4" s="1" t="s">
        <v>58</v>
      </c>
      <c r="B4" s="1" t="b">
        <v>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D348-9CB9-4564-B4E3-83ABB0B79710}">
  <dimension ref="A1:L11"/>
  <sheetViews>
    <sheetView workbookViewId="0">
      <selection activeCell="C1" sqref="C1"/>
    </sheetView>
  </sheetViews>
  <sheetFormatPr defaultRowHeight="15" x14ac:dyDescent="0.25"/>
  <cols>
    <col min="1" max="1" width="17.28515625" customWidth="1"/>
    <col min="2" max="2" width="17.28515625" bestFit="1" customWidth="1"/>
    <col min="3" max="3" width="11.7109375" bestFit="1" customWidth="1"/>
    <col min="4" max="4" width="8.140625" bestFit="1" customWidth="1"/>
    <col min="5" max="5" width="14" bestFit="1" customWidth="1"/>
    <col min="6" max="6" width="11.28515625" bestFit="1" customWidth="1"/>
    <col min="7" max="8" width="25.85546875" bestFit="1" customWidth="1"/>
    <col min="9" max="9" width="26.5703125" bestFit="1" customWidth="1"/>
    <col min="10" max="10" width="26.140625" bestFit="1" customWidth="1"/>
    <col min="11" max="12" width="26.140625" customWidth="1"/>
    <col min="13" max="13" width="19.28515625" bestFit="1" customWidth="1"/>
  </cols>
  <sheetData>
    <row r="1" spans="1:12" x14ac:dyDescent="0.25">
      <c r="A1" t="s">
        <v>100</v>
      </c>
      <c r="B1" t="s">
        <v>68</v>
      </c>
      <c r="C1" t="s">
        <v>99</v>
      </c>
      <c r="D1" t="s">
        <v>69</v>
      </c>
      <c r="E1" t="s">
        <v>70</v>
      </c>
      <c r="F1" t="s">
        <v>71</v>
      </c>
      <c r="G1" t="s">
        <v>72</v>
      </c>
      <c r="H1" t="s">
        <v>73</v>
      </c>
      <c r="I1" t="s">
        <v>74</v>
      </c>
      <c r="J1" t="s">
        <v>118</v>
      </c>
      <c r="K1" t="s">
        <v>119</v>
      </c>
      <c r="L1" t="s">
        <v>120</v>
      </c>
    </row>
    <row r="2" spans="1:12" x14ac:dyDescent="0.25">
      <c r="A2" t="s">
        <v>60</v>
      </c>
      <c r="B2" t="s">
        <v>75</v>
      </c>
      <c r="C2" t="b">
        <v>1</v>
      </c>
      <c r="D2">
        <v>0</v>
      </c>
      <c r="E2">
        <v>0</v>
      </c>
      <c r="F2">
        <v>0</v>
      </c>
      <c r="G2" t="s">
        <v>76</v>
      </c>
      <c r="H2" t="s">
        <v>77</v>
      </c>
      <c r="I2" t="s">
        <v>78</v>
      </c>
      <c r="J2" t="s">
        <v>121</v>
      </c>
      <c r="K2" t="s">
        <v>126</v>
      </c>
      <c r="L2" t="s">
        <v>60</v>
      </c>
    </row>
    <row r="3" spans="1:12" x14ac:dyDescent="0.25">
      <c r="A3" t="s">
        <v>62</v>
      </c>
      <c r="B3" t="s">
        <v>79</v>
      </c>
      <c r="C3" t="b">
        <v>1</v>
      </c>
      <c r="D3">
        <v>0</v>
      </c>
      <c r="E3">
        <v>0</v>
      </c>
      <c r="F3">
        <v>0</v>
      </c>
      <c r="G3" t="s">
        <v>80</v>
      </c>
      <c r="H3" t="s">
        <v>81</v>
      </c>
      <c r="I3" t="s">
        <v>82</v>
      </c>
      <c r="J3" t="s">
        <v>122</v>
      </c>
      <c r="K3" t="s">
        <v>127</v>
      </c>
      <c r="L3" t="s">
        <v>62</v>
      </c>
    </row>
    <row r="4" spans="1:12" x14ac:dyDescent="0.25">
      <c r="A4" t="s">
        <v>61</v>
      </c>
      <c r="B4" t="s">
        <v>83</v>
      </c>
      <c r="C4" t="b">
        <v>1</v>
      </c>
      <c r="D4">
        <v>0</v>
      </c>
      <c r="E4">
        <v>0</v>
      </c>
      <c r="F4">
        <v>0</v>
      </c>
      <c r="G4" t="s">
        <v>84</v>
      </c>
      <c r="H4" t="s">
        <v>85</v>
      </c>
      <c r="I4" t="s">
        <v>86</v>
      </c>
      <c r="J4" t="s">
        <v>123</v>
      </c>
      <c r="K4" t="s">
        <v>128</v>
      </c>
      <c r="L4" t="s">
        <v>61</v>
      </c>
    </row>
    <row r="5" spans="1:12" x14ac:dyDescent="0.25">
      <c r="A5" t="s">
        <v>63</v>
      </c>
      <c r="B5" t="s">
        <v>87</v>
      </c>
      <c r="C5" t="b">
        <v>1</v>
      </c>
      <c r="D5">
        <v>0</v>
      </c>
      <c r="E5">
        <v>0</v>
      </c>
      <c r="F5">
        <v>0</v>
      </c>
      <c r="G5" t="s">
        <v>88</v>
      </c>
      <c r="H5" t="s">
        <v>89</v>
      </c>
      <c r="I5" t="s">
        <v>90</v>
      </c>
      <c r="J5" t="s">
        <v>124</v>
      </c>
      <c r="K5" t="s">
        <v>129</v>
      </c>
      <c r="L5" t="s">
        <v>63</v>
      </c>
    </row>
    <row r="6" spans="1:12" x14ac:dyDescent="0.25">
      <c r="A6" t="s">
        <v>64</v>
      </c>
      <c r="B6" t="s">
        <v>91</v>
      </c>
      <c r="C6" t="b">
        <v>1</v>
      </c>
      <c r="D6">
        <v>0</v>
      </c>
      <c r="E6">
        <v>0</v>
      </c>
      <c r="F6">
        <v>0</v>
      </c>
      <c r="G6" t="s">
        <v>92</v>
      </c>
      <c r="H6" t="s">
        <v>93</v>
      </c>
      <c r="I6" t="s">
        <v>94</v>
      </c>
      <c r="J6" t="s">
        <v>64</v>
      </c>
      <c r="K6" t="s">
        <v>64</v>
      </c>
      <c r="L6" t="s">
        <v>64</v>
      </c>
    </row>
    <row r="7" spans="1:12" x14ac:dyDescent="0.25">
      <c r="A7" s="1" t="s">
        <v>59</v>
      </c>
      <c r="B7" t="s">
        <v>95</v>
      </c>
      <c r="C7" t="b">
        <v>1</v>
      </c>
      <c r="D7">
        <v>0</v>
      </c>
      <c r="E7">
        <v>0</v>
      </c>
      <c r="F7">
        <v>0</v>
      </c>
      <c r="G7" t="s">
        <v>96</v>
      </c>
      <c r="H7" t="s">
        <v>97</v>
      </c>
      <c r="I7" t="s">
        <v>98</v>
      </c>
      <c r="J7" s="1" t="s">
        <v>131</v>
      </c>
      <c r="K7" s="1" t="s">
        <v>132</v>
      </c>
      <c r="L7" s="1" t="s">
        <v>59</v>
      </c>
    </row>
    <row r="8" spans="1:12" x14ac:dyDescent="0.25">
      <c r="A8" s="1" t="s">
        <v>65</v>
      </c>
      <c r="B8" t="s">
        <v>101</v>
      </c>
      <c r="C8" t="b">
        <v>1</v>
      </c>
      <c r="D8">
        <v>0</v>
      </c>
      <c r="E8">
        <v>0</v>
      </c>
      <c r="F8">
        <v>0</v>
      </c>
      <c r="G8" t="s">
        <v>104</v>
      </c>
      <c r="H8" t="s">
        <v>105</v>
      </c>
      <c r="I8" t="s">
        <v>106</v>
      </c>
      <c r="J8" s="1"/>
      <c r="L8" s="1" t="s">
        <v>65</v>
      </c>
    </row>
    <row r="9" spans="1:12" x14ac:dyDescent="0.25">
      <c r="A9" s="1" t="s">
        <v>66</v>
      </c>
      <c r="B9" t="s">
        <v>102</v>
      </c>
      <c r="C9" t="b">
        <v>1</v>
      </c>
      <c r="D9">
        <v>0</v>
      </c>
      <c r="E9">
        <v>0</v>
      </c>
      <c r="F9">
        <v>0</v>
      </c>
      <c r="G9" t="s">
        <v>107</v>
      </c>
      <c r="H9" t="s">
        <v>108</v>
      </c>
      <c r="I9" t="s">
        <v>109</v>
      </c>
      <c r="J9" s="1"/>
      <c r="L9" s="1" t="s">
        <v>66</v>
      </c>
    </row>
    <row r="10" spans="1:12" x14ac:dyDescent="0.25">
      <c r="A10" s="1" t="s">
        <v>67</v>
      </c>
      <c r="B10" t="s">
        <v>103</v>
      </c>
      <c r="C10" t="b">
        <v>1</v>
      </c>
      <c r="D10">
        <v>0</v>
      </c>
      <c r="E10">
        <v>0</v>
      </c>
      <c r="F10">
        <v>0</v>
      </c>
      <c r="G10" t="s">
        <v>110</v>
      </c>
      <c r="H10" t="s">
        <v>111</v>
      </c>
      <c r="I10" t="s">
        <v>112</v>
      </c>
      <c r="J10" s="1"/>
      <c r="L10" s="1" t="s">
        <v>67</v>
      </c>
    </row>
    <row r="11" spans="1:12" x14ac:dyDescent="0.25">
      <c r="A11" t="s">
        <v>25</v>
      </c>
      <c r="B11" t="s">
        <v>113</v>
      </c>
      <c r="C11" t="b">
        <v>1</v>
      </c>
      <c r="D11">
        <v>0</v>
      </c>
      <c r="E11">
        <v>0</v>
      </c>
      <c r="F11">
        <v>0</v>
      </c>
      <c r="G11" t="s">
        <v>114</v>
      </c>
      <c r="H11" t="s">
        <v>115</v>
      </c>
      <c r="I11" t="s">
        <v>116</v>
      </c>
      <c r="J11" t="s">
        <v>125</v>
      </c>
      <c r="K11" t="s">
        <v>130</v>
      </c>
      <c r="L11" t="s">
        <v>25</v>
      </c>
    </row>
  </sheetData>
  <phoneticPr fontId="2"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Tournaments</vt:lpstr>
      <vt:lpstr>DivTournaments</vt:lpstr>
      <vt:lpstr>Assignments</vt:lpstr>
      <vt:lpstr>SeasonInfo</vt:lpstr>
      <vt:lpstr>AwardDef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Berger</dc:creator>
  <cp:lastModifiedBy>Skip Morrow</cp:lastModifiedBy>
  <dcterms:created xsi:type="dcterms:W3CDTF">2024-10-16T01:30:27Z</dcterms:created>
  <dcterms:modified xsi:type="dcterms:W3CDTF">2025-12-30T22:52:11Z</dcterms:modified>
</cp:coreProperties>
</file>