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f561baa7cdd441cb"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github-projects\FLL-Season-and-Tournament-Management\"/>
    </mc:Choice>
  </mc:AlternateContent>
  <xr:revisionPtr revIDLastSave="0" documentId="13_ncr:1_{D7145C29-EA46-4840-8083-6DBA31633F6D}" xr6:coauthVersionLast="47" xr6:coauthVersionMax="47" xr10:uidLastSave="{00000000-0000-0000-0000-000000000000}"/>
  <bookViews>
    <workbookView xWindow="-120" yWindow="-120" windowWidth="38640" windowHeight="21120" tabRatio="879" activeTab="7" xr2:uid="{00000000-000D-0000-FFFF-FFFF00000000}"/>
  </bookViews>
  <sheets>
    <sheet name="Instructions" sheetId="1" r:id="rId1"/>
    <sheet name="Team and Program Information" sheetId="2" r:id="rId2"/>
    <sheet name="Data Validation" sheetId="12" r:id="rId3"/>
    <sheet name="Meta" sheetId="3" r:id="rId4"/>
    <sheet name="AwardListDropdowns" sheetId="11" r:id="rId5"/>
    <sheet name="AwardDef" sheetId="14" r:id="rId6"/>
    <sheet name="Pod Analysis" sheetId="13" r:id="rId7"/>
    <sheet name="Results and Rankings" sheetId="4" r:id="rId8"/>
    <sheet name="Robot Game Scores" sheetId="5" r:id="rId9"/>
    <sheet name="Innovation Project Input" sheetId="6" r:id="rId10"/>
    <sheet name="Robot Design Input" sheetId="7" r:id="rId11"/>
    <sheet name="Core Values Input" sheetId="8" r:id="rId12"/>
    <sheet name="GP Scores" sheetId="9" state="hidden" r:id="rId13"/>
    <sheet name="Area Deliberations" sheetId="10" state="hidden" r:id="rId14"/>
  </sheets>
  <functionGroups builtInGroupCount="19"/>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GPScores">'GP Scores'!$A:$C</definedName>
    <definedName name="_xlnm.Print_Area" localSheetId="0">Instructions!$B$1:$D$24</definedName>
    <definedName name="_xlnm.Print_Titles" localSheetId="7">'Results and Rankings'!$1:$1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11" l="1"/>
  <c r="Q1" i="4"/>
  <c r="W1" i="4" s="1"/>
  <c r="F2" i="5"/>
  <c r="H1" i="2"/>
  <c r="F1" i="2"/>
  <c r="B2" i="8" l="1"/>
  <c r="B2" i="7"/>
  <c r="B2" i="6"/>
  <c r="B3" i="4"/>
  <c r="B2" i="5"/>
  <c r="Q2" i="8"/>
  <c r="R2" i="8" s="1"/>
  <c r="C2" i="8"/>
  <c r="D2" i="8"/>
  <c r="E2" i="8"/>
  <c r="F2" i="8"/>
  <c r="G2" i="8"/>
  <c r="H2" i="8"/>
  <c r="I2" i="8"/>
  <c r="J2" i="8"/>
  <c r="K2" i="8"/>
  <c r="L2" i="8"/>
  <c r="M2" i="8"/>
  <c r="C2" i="7"/>
  <c r="N2" i="7"/>
  <c r="T3" i="4" s="1"/>
  <c r="C2" i="6"/>
  <c r="N2" i="6"/>
  <c r="C3" i="4"/>
  <c r="E3" i="4"/>
  <c r="F3" i="4"/>
  <c r="G3" i="4"/>
  <c r="H3" i="4"/>
  <c r="M54" i="10"/>
  <c r="H54" i="10"/>
  <c r="C54" i="10"/>
  <c r="M53" i="10"/>
  <c r="H53" i="10"/>
  <c r="C53" i="10"/>
  <c r="M52" i="10"/>
  <c r="H52" i="10"/>
  <c r="C52" i="10"/>
  <c r="M51" i="10"/>
  <c r="H51" i="10"/>
  <c r="C51" i="10"/>
  <c r="M50" i="10"/>
  <c r="H50" i="10"/>
  <c r="C50" i="10"/>
  <c r="M49" i="10"/>
  <c r="H49" i="10"/>
  <c r="C49" i="10"/>
  <c r="M48" i="10"/>
  <c r="H48" i="10"/>
  <c r="C48" i="10"/>
  <c r="M47" i="10"/>
  <c r="H47" i="10"/>
  <c r="C47" i="10"/>
  <c r="M46" i="10"/>
  <c r="H46" i="10"/>
  <c r="C46" i="10"/>
  <c r="M45" i="10"/>
  <c r="H45" i="10"/>
  <c r="C45" i="10"/>
  <c r="M44" i="10"/>
  <c r="H44" i="10"/>
  <c r="C44" i="10"/>
  <c r="M43" i="10"/>
  <c r="H43" i="10"/>
  <c r="C43" i="10"/>
  <c r="M42" i="10"/>
  <c r="H42" i="10"/>
  <c r="C42" i="10"/>
  <c r="M41" i="10"/>
  <c r="H41" i="10"/>
  <c r="C41" i="10"/>
  <c r="M40" i="10"/>
  <c r="H40" i="10"/>
  <c r="C40" i="10"/>
  <c r="M36" i="10"/>
  <c r="H36" i="10"/>
  <c r="C36" i="10"/>
  <c r="M35" i="10"/>
  <c r="H35" i="10"/>
  <c r="C35" i="10"/>
  <c r="M34" i="10"/>
  <c r="H34" i="10"/>
  <c r="C34" i="10"/>
  <c r="M33" i="10"/>
  <c r="H33" i="10"/>
  <c r="C33" i="10"/>
  <c r="M32" i="10"/>
  <c r="H32" i="10"/>
  <c r="C32" i="10"/>
  <c r="M31" i="10"/>
  <c r="H31" i="10"/>
  <c r="C31" i="10"/>
  <c r="M30" i="10"/>
  <c r="H30" i="10"/>
  <c r="C30" i="10"/>
  <c r="M29" i="10"/>
  <c r="H29" i="10"/>
  <c r="C29" i="10"/>
  <c r="M28" i="10"/>
  <c r="H28" i="10"/>
  <c r="C28" i="10"/>
  <c r="M27" i="10"/>
  <c r="H27" i="10"/>
  <c r="C27" i="10"/>
  <c r="M26" i="10"/>
  <c r="H26" i="10"/>
  <c r="C26" i="10"/>
  <c r="M25" i="10"/>
  <c r="H25" i="10"/>
  <c r="C25" i="10"/>
  <c r="M24" i="10"/>
  <c r="H24" i="10"/>
  <c r="C24" i="10"/>
  <c r="M23" i="10"/>
  <c r="H23" i="10"/>
  <c r="C23" i="10"/>
  <c r="M22" i="10"/>
  <c r="H22" i="10"/>
  <c r="C22" i="10"/>
  <c r="H18" i="10"/>
  <c r="C18" i="10"/>
  <c r="H17" i="10"/>
  <c r="C17" i="10"/>
  <c r="H16" i="10"/>
  <c r="C16" i="10"/>
  <c r="H15" i="10"/>
  <c r="C15" i="10"/>
  <c r="H14" i="10"/>
  <c r="C14" i="10"/>
  <c r="H13" i="10"/>
  <c r="C13" i="10"/>
  <c r="H12" i="10"/>
  <c r="C12" i="10"/>
  <c r="H11" i="10"/>
  <c r="C11" i="10"/>
  <c r="H10" i="10"/>
  <c r="C10" i="10"/>
  <c r="H9" i="10"/>
  <c r="C9" i="10"/>
  <c r="H8" i="10"/>
  <c r="C8" i="10"/>
  <c r="H7" i="10"/>
  <c r="C7" i="10"/>
  <c r="H6" i="10"/>
  <c r="C6" i="10"/>
  <c r="H5" i="10"/>
  <c r="C5" i="10"/>
  <c r="H4" i="10"/>
  <c r="C4" i="10"/>
  <c r="N54" i="10"/>
  <c r="D2" i="13" l="1"/>
  <c r="D3" i="13"/>
  <c r="D6" i="13"/>
  <c r="D9" i="13"/>
  <c r="D12" i="13"/>
  <c r="D15" i="13"/>
  <c r="D18" i="13"/>
  <c r="D21" i="13"/>
  <c r="D24" i="13"/>
  <c r="D27" i="13"/>
  <c r="D30" i="13"/>
  <c r="D33" i="13"/>
  <c r="D36" i="13"/>
  <c r="D39" i="13"/>
  <c r="D4" i="13"/>
  <c r="D7" i="13"/>
  <c r="D10" i="13"/>
  <c r="D13" i="13"/>
  <c r="D16" i="13"/>
  <c r="D19" i="13"/>
  <c r="D22" i="13"/>
  <c r="D25" i="13"/>
  <c r="D28" i="13"/>
  <c r="D31" i="13"/>
  <c r="D34" i="13"/>
  <c r="D37" i="13"/>
  <c r="D40" i="13"/>
  <c r="D5" i="13"/>
  <c r="D8" i="13"/>
  <c r="D11" i="13"/>
  <c r="D14" i="13"/>
  <c r="D17" i="13"/>
  <c r="D20" i="13"/>
  <c r="D23" i="13"/>
  <c r="D26" i="13"/>
  <c r="D29" i="13"/>
  <c r="D32" i="13"/>
  <c r="D35" i="13"/>
  <c r="D38" i="13"/>
  <c r="E5" i="13"/>
  <c r="E8" i="13"/>
  <c r="E11" i="13"/>
  <c r="E14" i="13"/>
  <c r="E17" i="13"/>
  <c r="E20" i="13"/>
  <c r="E23" i="13"/>
  <c r="E26" i="13"/>
  <c r="E29" i="13"/>
  <c r="E32" i="13"/>
  <c r="E35" i="13"/>
  <c r="E38" i="13"/>
  <c r="E12" i="13"/>
  <c r="E30" i="13"/>
  <c r="E9" i="13"/>
  <c r="E21" i="13"/>
  <c r="E15" i="13"/>
  <c r="E6" i="13"/>
  <c r="E18" i="13"/>
  <c r="E3" i="13"/>
  <c r="E2" i="13"/>
  <c r="E33" i="13"/>
  <c r="E4" i="13"/>
  <c r="E7" i="13"/>
  <c r="E10" i="13"/>
  <c r="E13" i="13"/>
  <c r="E16" i="13"/>
  <c r="E19" i="13"/>
  <c r="E22" i="13"/>
  <c r="E25" i="13"/>
  <c r="E28" i="13"/>
  <c r="E31" i="13"/>
  <c r="E34" i="13"/>
  <c r="E37" i="13"/>
  <c r="E40" i="13"/>
  <c r="E27" i="13"/>
  <c r="E36" i="13"/>
  <c r="E39" i="13"/>
  <c r="E24" i="13"/>
  <c r="C3" i="13"/>
  <c r="C6" i="13"/>
  <c r="C9" i="13"/>
  <c r="C12" i="13"/>
  <c r="C15" i="13"/>
  <c r="C18" i="13"/>
  <c r="C21" i="13"/>
  <c r="C24" i="13"/>
  <c r="C27" i="13"/>
  <c r="C30" i="13"/>
  <c r="C33" i="13"/>
  <c r="C36" i="13"/>
  <c r="C39" i="13"/>
  <c r="C4" i="13"/>
  <c r="C7" i="13"/>
  <c r="C10" i="13"/>
  <c r="C13" i="13"/>
  <c r="C16" i="13"/>
  <c r="C19" i="13"/>
  <c r="C22" i="13"/>
  <c r="C25" i="13"/>
  <c r="C28" i="13"/>
  <c r="C31" i="13"/>
  <c r="C34" i="13"/>
  <c r="C37" i="13"/>
  <c r="C40" i="13"/>
  <c r="C5" i="13"/>
  <c r="C8" i="13"/>
  <c r="C11" i="13"/>
  <c r="C14" i="13"/>
  <c r="C17" i="13"/>
  <c r="C20" i="13"/>
  <c r="C23" i="13"/>
  <c r="C26" i="13"/>
  <c r="C29" i="13"/>
  <c r="C32" i="13"/>
  <c r="C35" i="13"/>
  <c r="C38" i="13"/>
  <c r="F24" i="13"/>
  <c r="F5" i="13"/>
  <c r="F8" i="13"/>
  <c r="F11" i="13"/>
  <c r="F14" i="13"/>
  <c r="F17" i="13"/>
  <c r="F20" i="13"/>
  <c r="F23" i="13"/>
  <c r="F26" i="13"/>
  <c r="F29" i="13"/>
  <c r="F32" i="13"/>
  <c r="F35" i="13"/>
  <c r="F38" i="13"/>
  <c r="F9" i="13"/>
  <c r="F36" i="13"/>
  <c r="F15" i="13"/>
  <c r="F12" i="13"/>
  <c r="F39" i="13"/>
  <c r="F3" i="13"/>
  <c r="F6" i="13"/>
  <c r="F27" i="13"/>
  <c r="F37" i="13"/>
  <c r="F21" i="13"/>
  <c r="F4" i="13"/>
  <c r="F7" i="13"/>
  <c r="F10" i="13"/>
  <c r="F13" i="13"/>
  <c r="F16" i="13"/>
  <c r="F19" i="13"/>
  <c r="F22" i="13"/>
  <c r="F25" i="13"/>
  <c r="F28" i="13"/>
  <c r="F31" i="13"/>
  <c r="F34" i="13"/>
  <c r="F40" i="13"/>
  <c r="F33" i="13"/>
  <c r="F2" i="13"/>
  <c r="F30" i="13"/>
  <c r="F18" i="13"/>
  <c r="O2" i="6"/>
  <c r="O2" i="7"/>
  <c r="S3" i="4"/>
  <c r="S2" i="8"/>
  <c r="R3" i="4" s="1"/>
  <c r="L3" i="4"/>
  <c r="D3" i="4"/>
  <c r="I3" i="4" s="1"/>
  <c r="M3" i="4"/>
  <c r="D4" i="10"/>
  <c r="D7" i="10"/>
  <c r="D10" i="10"/>
  <c r="D13" i="10"/>
  <c r="D16" i="10"/>
  <c r="D22" i="10"/>
  <c r="D24" i="10"/>
  <c r="D26" i="10"/>
  <c r="D28" i="10"/>
  <c r="D30" i="10"/>
  <c r="D32" i="10"/>
  <c r="D34" i="10"/>
  <c r="D36" i="10"/>
  <c r="D41" i="10"/>
  <c r="D43" i="10"/>
  <c r="D45" i="10"/>
  <c r="D47" i="10"/>
  <c r="D49" i="10"/>
  <c r="D51" i="10"/>
  <c r="D53" i="10"/>
  <c r="I4" i="10"/>
  <c r="I7" i="10"/>
  <c r="I10" i="10"/>
  <c r="I13" i="10"/>
  <c r="I16" i="10"/>
  <c r="I22" i="10"/>
  <c r="I24" i="10"/>
  <c r="I26" i="10"/>
  <c r="I28" i="10"/>
  <c r="I30" i="10"/>
  <c r="I32" i="10"/>
  <c r="I34" i="10"/>
  <c r="I36" i="10"/>
  <c r="I41" i="10"/>
  <c r="I43" i="10"/>
  <c r="I45" i="10"/>
  <c r="I47" i="10"/>
  <c r="I49" i="10"/>
  <c r="I51" i="10"/>
  <c r="I53" i="10"/>
  <c r="D5" i="10"/>
  <c r="D8" i="10"/>
  <c r="D11" i="10"/>
  <c r="D14" i="10"/>
  <c r="D17" i="10"/>
  <c r="N22" i="10"/>
  <c r="N24" i="10"/>
  <c r="N26" i="10"/>
  <c r="N28" i="10"/>
  <c r="N30" i="10"/>
  <c r="N32" i="10"/>
  <c r="N34" i="10"/>
  <c r="N36" i="10"/>
  <c r="N41" i="10"/>
  <c r="N43" i="10"/>
  <c r="N45" i="10"/>
  <c r="N47" i="10"/>
  <c r="N49" i="10"/>
  <c r="N51" i="10"/>
  <c r="N53" i="10"/>
  <c r="I5" i="10"/>
  <c r="I8" i="10"/>
  <c r="I11" i="10"/>
  <c r="I14" i="10"/>
  <c r="I17" i="10"/>
  <c r="D23" i="10"/>
  <c r="D25" i="10"/>
  <c r="D27" i="10"/>
  <c r="D29" i="10"/>
  <c r="D31" i="10"/>
  <c r="D33" i="10"/>
  <c r="D35" i="10"/>
  <c r="D40" i="10"/>
  <c r="D42" i="10"/>
  <c r="D44" i="10"/>
  <c r="D46" i="10"/>
  <c r="D48" i="10"/>
  <c r="D50" i="10"/>
  <c r="D52" i="10"/>
  <c r="D54" i="10"/>
  <c r="D6" i="10"/>
  <c r="D9" i="10"/>
  <c r="D12" i="10"/>
  <c r="D15" i="10"/>
  <c r="D18" i="10"/>
  <c r="I23" i="10"/>
  <c r="I25" i="10"/>
  <c r="I27" i="10"/>
  <c r="I29" i="10"/>
  <c r="I31" i="10"/>
  <c r="I33" i="10"/>
  <c r="I35" i="10"/>
  <c r="I40" i="10"/>
  <c r="I42" i="10"/>
  <c r="I44" i="10"/>
  <c r="I46" i="10"/>
  <c r="I48" i="10"/>
  <c r="I50" i="10"/>
  <c r="I52" i="10"/>
  <c r="I54" i="10"/>
  <c r="I6" i="10"/>
  <c r="I9" i="10"/>
  <c r="I12" i="10"/>
  <c r="I15" i="10"/>
  <c r="I18" i="10"/>
  <c r="N23" i="10"/>
  <c r="N25" i="10"/>
  <c r="N27" i="10"/>
  <c r="N29" i="10"/>
  <c r="N31" i="10"/>
  <c r="N33" i="10"/>
  <c r="N35" i="10"/>
  <c r="N40" i="10"/>
  <c r="N42" i="10"/>
  <c r="N44" i="10"/>
  <c r="N46" i="10"/>
  <c r="N48" i="10"/>
  <c r="N50" i="10"/>
  <c r="N52" i="10"/>
  <c r="T2" i="8" l="1"/>
  <c r="J3" i="4"/>
  <c r="K3" i="4"/>
  <c r="U3" i="4"/>
  <c r="V3" i="4" s="1"/>
  <c r="N3" i="4" l="1"/>
  <c r="C2" i="13" s="1"/>
  <c r="O3" i="4" l="1"/>
</calcChain>
</file>

<file path=xl/sharedStrings.xml><?xml version="1.0" encoding="utf-8"?>
<sst xmlns="http://schemas.openxmlformats.org/spreadsheetml/2006/main" count="185" uniqueCount="132">
  <si>
    <t>DESIGNED FOR USE IN MICROSOFT EXCEL (DESKTOP APP).
SOME FUNCTIONALITY WILL BE LOST IN WEB OR OTHER APPLICATIONS.</t>
  </si>
  <si>
    <t>1.</t>
  </si>
  <si>
    <t>2.</t>
  </si>
  <si>
    <t>3.</t>
  </si>
  <si>
    <t>4.</t>
  </si>
  <si>
    <t>5.</t>
  </si>
  <si>
    <t>You are now ready to allocate your awards based on your rankings using the 'Awards and Allocations' document in the judging toolkit.</t>
  </si>
  <si>
    <t>Useful Tips:</t>
  </si>
  <si>
    <t>As you work with the OJS you should save your spreadsheet regularly in case of IT issues.</t>
  </si>
  <si>
    <t>If your event uses more than 3 official robot game matches, you can unhide columns F-G in 'Robot Game Scores' and columns P-Q in 'Core Values Input' for Gracious Professionalism scores.</t>
  </si>
  <si>
    <t>If referees hand in printed scoresheets, robot game scores will need to be calclulated using the 'Official Scoring Calculator' tool (online).</t>
  </si>
  <si>
    <t>FIRST® LEGO® League Challenge Official Judging Spreadsheet</t>
  </si>
  <si>
    <t>Team Number</t>
  </si>
  <si>
    <t>Team Name</t>
  </si>
  <si>
    <t>Pod Number</t>
  </si>
  <si>
    <t>Key</t>
  </si>
  <si>
    <t>Value</t>
  </si>
  <si>
    <t>Team Information</t>
  </si>
  <si>
    <t>Robot Game</t>
  </si>
  <si>
    <t>Judging</t>
  </si>
  <si>
    <t>Overall</t>
  </si>
  <si>
    <t>Testing Items (Info Only)</t>
  </si>
  <si>
    <t>Comments</t>
  </si>
  <si>
    <t>Robot Game Score 1</t>
  </si>
  <si>
    <t>Robot Game Score 2</t>
  </si>
  <si>
    <t>Robot Game Score 3</t>
  </si>
  <si>
    <t>Robot Game Score 4</t>
  </si>
  <si>
    <t>Robot Game Score 5</t>
  </si>
  <si>
    <t>Max Robot Game Score</t>
  </si>
  <si>
    <t>Robot Game Rank</t>
  </si>
  <si>
    <t>Core Values Rank</t>
  </si>
  <si>
    <t>Innovation Project Rank</t>
  </si>
  <si>
    <t>Robot Design Rank</t>
  </si>
  <si>
    <t>Champion's Score</t>
  </si>
  <si>
    <t>Champion's Rank</t>
  </si>
  <si>
    <t>Award</t>
  </si>
  <si>
    <t>Advance?</t>
  </si>
  <si>
    <t>Core Values Score</t>
  </si>
  <si>
    <t>Innovattion Project Score</t>
  </si>
  <si>
    <t>Robot Design Score</t>
  </si>
  <si>
    <t>Overall Score - Geometric Mean</t>
  </si>
  <si>
    <t>Overall Ranking - Geometric Mean</t>
  </si>
  <si>
    <t>Robot Game 1 Score</t>
  </si>
  <si>
    <t>Robot Game 2 Score</t>
  </si>
  <si>
    <t>Robot Game 3 Score</t>
  </si>
  <si>
    <t>Highest Robot Game Score</t>
  </si>
  <si>
    <t>Identify - Define</t>
  </si>
  <si>
    <t>Identify - Research (CV)</t>
  </si>
  <si>
    <t>Design - Plan</t>
  </si>
  <si>
    <t>Design - Teamwork (CV)</t>
  </si>
  <si>
    <t>Create - Innovation (CV)</t>
  </si>
  <si>
    <t>Create - Model</t>
  </si>
  <si>
    <t>Iterate - Sharing</t>
  </si>
  <si>
    <t>Iterate - Improvement</t>
  </si>
  <si>
    <t>Communicate - Impact (CV)</t>
  </si>
  <si>
    <t>Communicate - Fun (CV)</t>
  </si>
  <si>
    <t>Innovation Project Score</t>
  </si>
  <si>
    <t>Identify - Strategy</t>
  </si>
  <si>
    <t>Design - Ideas (CV)</t>
  </si>
  <si>
    <t>Design - Building/Coding</t>
  </si>
  <si>
    <t>Create - Attachments</t>
  </si>
  <si>
    <t>Create - Code/ Sensors</t>
  </si>
  <si>
    <t>Iterate - Testing</t>
  </si>
  <si>
    <t>Iterate - Improvements (CV)</t>
  </si>
  <si>
    <t>Identify - Research (CV-IP)</t>
  </si>
  <si>
    <t>Design - Teamwork (CV-IP)</t>
  </si>
  <si>
    <t>Create - Innovation (CV-IP)</t>
  </si>
  <si>
    <t>Communicate - Impact (CV-IP)</t>
  </si>
  <si>
    <t>Communicate - Fun (CV-IP)</t>
  </si>
  <si>
    <t>Identify - Research (CV-RD)</t>
  </si>
  <si>
    <t>Design - Ideas (CV-RD)</t>
  </si>
  <si>
    <t>Iterate - Improvements (CV-RD)</t>
  </si>
  <si>
    <t>Communicate - Impact (CV-RD)</t>
  </si>
  <si>
    <t>Communicate - Fun (CV-RD)</t>
  </si>
  <si>
    <t>Gracious Professionalism 1</t>
  </si>
  <si>
    <t>Gracious Professionalism 2</t>
  </si>
  <si>
    <t>Gracious Professionalism 3</t>
  </si>
  <si>
    <t>Gracious Professionalism Total</t>
  </si>
  <si>
    <t>Gracious Professionalism Score</t>
  </si>
  <si>
    <t>rank</t>
  </si>
  <si>
    <t>team</t>
  </si>
  <si>
    <t>total</t>
  </si>
  <si>
    <t>Champion's</t>
  </si>
  <si>
    <t>Advancement</t>
  </si>
  <si>
    <t>Deliberated Rank</t>
  </si>
  <si>
    <t>Core Values</t>
  </si>
  <si>
    <t>Robot Design</t>
  </si>
  <si>
    <t>Innovation Project</t>
  </si>
  <si>
    <t>Breakthrough</t>
  </si>
  <si>
    <t>Rising All-Star</t>
  </si>
  <si>
    <t>Motivate</t>
  </si>
  <si>
    <t>Robot Game Awards</t>
  </si>
  <si>
    <t>Advance</t>
  </si>
  <si>
    <t>Yes</t>
  </si>
  <si>
    <t>No</t>
  </si>
  <si>
    <t>Alt</t>
  </si>
  <si>
    <t>POD</t>
  </si>
  <si>
    <t>Champion</t>
  </si>
  <si>
    <t>IP</t>
  </si>
  <si>
    <t>RD</t>
  </si>
  <si>
    <t>CV</t>
  </si>
  <si>
    <t>Teams</t>
  </si>
  <si>
    <t>Pods</t>
  </si>
  <si>
    <t>Judge Advisor Instructions</t>
  </si>
  <si>
    <t>If you have enabled macros, there are two actions in the FLL OJS menu button that you can use. Note that some of the actions are password protected, but those actions would rarely, if ever, be needed by a judge advisor</t>
  </si>
  <si>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</si>
  <si>
    <r>
      <rPr>
        <b/>
        <sz val="18"/>
        <color theme="1"/>
        <rFont val="Calibri"/>
        <family val="2"/>
        <scheme val="minor"/>
      </rPr>
      <t>Enter Random Scores:</t>
    </r>
    <r>
      <rPr>
        <sz val="18"/>
        <color theme="1"/>
        <rFont val="Calibri"/>
        <family val="2"/>
        <scheme val="minor"/>
      </rPr>
      <t xml:space="preserve"> If you want to practice using the OJS, you can fill the OJS with random scores. Don't worry about messing things up. If you make some kind of terrible mistake, you can always just re-download the OJS file from where you got them.
</t>
    </r>
    <r>
      <rPr>
        <b/>
        <sz val="18"/>
        <color theme="1"/>
        <rFont val="Calibri"/>
        <family val="2"/>
        <scheme val="minor"/>
      </rPr>
      <t>Clear all scores</t>
    </r>
    <r>
      <rPr>
        <sz val="18"/>
        <color theme="1"/>
        <rFont val="Calibri"/>
        <family val="2"/>
        <scheme val="minor"/>
      </rPr>
      <t>: Does exactly what it says. Clears all scores (even the random ones if you used that.
Obviously both of these would be dangerous to use if you accidentally overwrote any REAL scores that you may have already entered.</t>
    </r>
  </si>
  <si>
    <t>On tournament day, collect the rubric scores from the judges and the robot game scores (including Gracious Professionalism® scores) from the referees throughout the event and enter the data into the corresponding pages of this spreadsheet.</t>
  </si>
  <si>
    <t>Core Values scores, except Gracious Professionalism scores from the robot game, are populated automatically from the other rubric scores - no score information should be added to columns D-M on the 'Core Values Input' page. But you will enter the GP scores in columns N-P.</t>
  </si>
  <si>
    <t>When all the data has been entered, go the 'Results and Rankings' page to view all of the information in one place.</t>
  </si>
  <si>
    <t>If you are copying data into the Input pages please remember to use the 'Paste Values' or 'Use Destination Formatting' option (This stops the formatting and formulae being overwritten)</t>
  </si>
  <si>
    <t>If you need to delete an award from a team, just select the cell and tap the delete key</t>
  </si>
  <si>
    <t>6.</t>
  </si>
  <si>
    <t>When you have entered all scores and selected the awards and advancing teams, you can run the script_maker.exe program to generate a closing script. While this program works pretty good for most tournaments, it is always a good idea to have a backup with paper scripts.</t>
  </si>
  <si>
    <t>You may use the excel filter option to adjust the rows that are seen, but the sort function is disabled.</t>
  </si>
  <si>
    <t>See the instructions.pdf file for instructions with screenshots</t>
  </si>
  <si>
    <t>Awards</t>
  </si>
  <si>
    <t>Name</t>
  </si>
  <si>
    <t>Label1</t>
  </si>
  <si>
    <t>Label2</t>
  </si>
  <si>
    <t>Label3</t>
  </si>
  <si>
    <t>Two emcees:</t>
  </si>
  <si>
    <t>Setting this to TRUE will alternate shading in the closing ceremony script to make it easier to read</t>
  </si>
  <si>
    <t>ColumnName</t>
  </si>
  <si>
    <t>DivAward</t>
  </si>
  <si>
    <t>Team #</t>
  </si>
  <si>
    <t>Coach Name</t>
  </si>
  <si>
    <t>ID</t>
  </si>
  <si>
    <t>ScriptTagD1</t>
  </si>
  <si>
    <t>ScriptTagD2</t>
  </si>
  <si>
    <t>ScriptTagNoDiv</t>
  </si>
  <si>
    <t>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</si>
</sst>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
  </numFmts>
  <fonts count="31" x14ac:knownFonts="1">
    <font>
      <sz val="11"/>
      <color theme="1"/>
      <name val="Calibri"/>
      <family val="2"/>
      <scheme val="minor"/>
    </font>
    <font>
      <sz val="12"/>
      <color theme="1"/>
      <name val="Calibri"/>
      <family val="2"/>
      <scheme val="minor"/>
    </font>
    <font>
      <sz val="12"/>
      <color theme="1"/>
      <name val="Calibri"/>
      <family val="2"/>
      <scheme val="minor"/>
    </font>
    <font>
      <b/>
      <sz val="14"/>
      <name val="Calibri"/>
      <family val="2"/>
      <scheme val="minor"/>
    </font>
    <font>
      <b/>
      <sz val="18"/>
      <color theme="1"/>
      <name val="Calibri"/>
      <family val="2"/>
      <scheme val="minor"/>
    </font>
    <font>
      <b/>
      <sz val="20"/>
      <color theme="1"/>
      <name val="Calibri"/>
      <family val="2"/>
      <scheme val="minor"/>
    </font>
    <font>
      <b/>
      <sz val="12"/>
      <color theme="1"/>
      <name val="Calibri"/>
      <family val="2"/>
      <scheme val="minor"/>
    </font>
    <font>
      <b/>
      <sz val="11"/>
      <color theme="0"/>
      <name val="Calibri"/>
      <family val="2"/>
      <scheme val="minor"/>
    </font>
    <font>
      <b/>
      <sz val="14"/>
      <color theme="0"/>
      <name val="Calibri"/>
      <family val="2"/>
      <scheme val="minor"/>
    </font>
    <font>
      <b/>
      <sz val="16"/>
      <color theme="1"/>
      <name val="Calibri"/>
      <family val="2"/>
      <scheme val="minor"/>
    </font>
    <font>
      <sz val="16"/>
      <color theme="1"/>
      <name val="Calibri"/>
      <family val="2"/>
      <scheme val="minor"/>
    </font>
    <font>
      <sz val="12"/>
      <name val="Calibri"/>
      <family val="2"/>
      <scheme val="minor"/>
    </font>
    <font>
      <b/>
      <sz val="12"/>
      <name val="Calibri"/>
      <family val="2"/>
      <scheme val="minor"/>
    </font>
    <font>
      <sz val="11"/>
      <color rgb="FF000000"/>
      <name val="Calibri"/>
      <family val="2"/>
      <scheme val="minor"/>
    </font>
    <font>
      <b/>
      <sz val="11"/>
      <color theme="1"/>
      <name val="Calibri"/>
      <family val="2"/>
      <scheme val="minor"/>
    </font>
    <font>
      <sz val="36"/>
      <color theme="1"/>
      <name val="Calibri"/>
      <family val="2"/>
      <scheme val="minor"/>
    </font>
    <font>
      <u/>
      <sz val="36"/>
      <color theme="1"/>
      <name val="Calibri"/>
      <family val="2"/>
      <scheme val="minor"/>
    </font>
    <font>
      <sz val="14"/>
      <color theme="1"/>
      <name val="Calibri"/>
      <family val="2"/>
      <scheme val="minor"/>
    </font>
    <font>
      <sz val="20"/>
      <color theme="1"/>
      <name val="Calibri"/>
      <family val="2"/>
      <scheme val="minor"/>
    </font>
    <font>
      <i/>
      <sz val="12"/>
      <color rgb="FFFF0000"/>
      <name val="Calibri"/>
      <family val="2"/>
      <scheme val="minor"/>
    </font>
    <font>
      <i/>
      <sz val="11"/>
      <color rgb="FFFF0000"/>
      <name val="Calibri"/>
      <family val="2"/>
      <scheme val="minor"/>
    </font>
    <font>
      <b/>
      <u/>
      <sz val="28"/>
      <color rgb="FFFF0000"/>
      <name val="Calibri"/>
      <family val="2"/>
      <scheme val="minor"/>
    </font>
    <font>
      <b/>
      <sz val="18"/>
      <name val="Calibri"/>
      <family val="2"/>
      <scheme val="minor"/>
    </font>
    <font>
      <b/>
      <sz val="18"/>
      <color theme="0"/>
      <name val="Calibri"/>
      <family val="2"/>
      <scheme val="minor"/>
    </font>
    <font>
      <sz val="12"/>
      <color theme="0"/>
      <name val="Calibri"/>
      <family val="2"/>
      <scheme val="minor"/>
    </font>
    <font>
      <b/>
      <i/>
      <sz val="11"/>
      <color theme="0"/>
      <name val="Calibri"/>
      <family val="2"/>
      <scheme val="minor"/>
    </font>
    <font>
      <b/>
      <sz val="12"/>
      <color theme="0"/>
      <name val="Calibri"/>
      <family val="2"/>
      <scheme val="minor"/>
    </font>
    <font>
      <b/>
      <sz val="11"/>
      <name val="Calibri"/>
      <family val="2"/>
      <scheme val="minor"/>
    </font>
    <font>
      <sz val="18"/>
      <color theme="1"/>
      <name val="Calibri"/>
      <family val="2"/>
      <scheme val="minor"/>
    </font>
    <font>
      <sz val="26"/>
      <color theme="1"/>
      <name val="Calibri"/>
      <family val="2"/>
      <scheme val="minor"/>
    </font>
    <font>
      <sz val="72"/>
      <color theme="1"/>
      <name val="Calibri"/>
      <family val="2"/>
      <scheme val="minor"/>
    </font>
  </fonts>
  <fills count="23">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5"/>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4">
    <xf numFmtId="0" fontId="0" fillId="0" borderId="0" xfId="0"/>
    <xf numFmtId="0" fontId="2"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vertical="center"/>
    </xf>
    <xf numFmtId="0" fontId="4" fillId="0" borderId="0" xfId="0" applyFont="1" applyAlignment="1">
      <alignment horizontal="center" vertical="center"/>
    </xf>
    <xf numFmtId="0" fontId="0" fillId="0" borderId="0" xfId="0" applyAlignment="1">
      <alignment horizontal="center" vertical="center"/>
    </xf>
    <xf numFmtId="0" fontId="9" fillId="0" borderId="0" xfId="0" applyFont="1" applyAlignment="1">
      <alignment horizontal="center" vertical="center"/>
    </xf>
    <xf numFmtId="0" fontId="10" fillId="0" borderId="0" xfId="0" applyFont="1" applyAlignment="1">
      <alignment horizontal="center" vertical="center"/>
    </xf>
    <xf numFmtId="0" fontId="2" fillId="0" borderId="0" xfId="0" applyFont="1" applyAlignment="1" applyProtection="1">
      <alignment horizontal="center" vertical="center"/>
      <protection locked="0"/>
    </xf>
    <xf numFmtId="0" fontId="3" fillId="0" borderId="0" xfId="0" applyFont="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center" vertical="center" wrapText="1"/>
    </xf>
    <xf numFmtId="0" fontId="0" fillId="4" borderId="0" xfId="0" applyFill="1" applyAlignment="1">
      <alignment horizontal="center" vertical="center"/>
    </xf>
    <xf numFmtId="0" fontId="0" fillId="4"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0" fontId="0" fillId="7" borderId="0" xfId="0" applyFill="1" applyAlignment="1">
      <alignment horizontal="center" vertical="center"/>
    </xf>
    <xf numFmtId="0" fontId="0" fillId="7" borderId="0" xfId="0" applyFill="1" applyAlignment="1">
      <alignment horizontal="center" vertical="center" wrapText="1"/>
    </xf>
    <xf numFmtId="0" fontId="0" fillId="12" borderId="0" xfId="0" applyFill="1" applyAlignment="1">
      <alignment horizontal="center" vertical="center"/>
    </xf>
    <xf numFmtId="0" fontId="0" fillId="12" borderId="0" xfId="0" applyFill="1" applyAlignment="1">
      <alignment horizontal="center" vertical="center" wrapText="1"/>
    </xf>
    <xf numFmtId="2" fontId="0" fillId="0" borderId="0" xfId="0" applyNumberFormat="1"/>
    <xf numFmtId="1" fontId="0" fillId="0" borderId="0" xfId="0" applyNumberFormat="1"/>
    <xf numFmtId="0" fontId="11" fillId="0" borderId="0" xfId="0" applyFont="1" applyAlignment="1" applyProtection="1">
      <alignment horizontal="center" vertical="center"/>
      <protection locked="0"/>
    </xf>
    <xf numFmtId="164" fontId="11" fillId="0" borderId="0" xfId="0" applyNumberFormat="1" applyFont="1" applyAlignment="1" applyProtection="1">
      <alignment horizontal="center" vertical="center"/>
      <protection locked="0"/>
    </xf>
    <xf numFmtId="0" fontId="13" fillId="0" borderId="0" xfId="0" applyFont="1"/>
    <xf numFmtId="1" fontId="12" fillId="14" borderId="1" xfId="0" applyNumberFormat="1" applyFont="1" applyFill="1" applyBorder="1" applyAlignment="1">
      <alignment horizontal="center" vertical="center" textRotation="90" wrapText="1"/>
    </xf>
    <xf numFmtId="1" fontId="12" fillId="10" borderId="1" xfId="0" applyNumberFormat="1" applyFont="1" applyFill="1" applyBorder="1" applyAlignment="1">
      <alignment horizontal="center" vertical="center" textRotation="90" wrapText="1"/>
    </xf>
    <xf numFmtId="1" fontId="12" fillId="13" borderId="1" xfId="0" applyNumberFormat="1" applyFont="1" applyFill="1" applyBorder="1" applyAlignment="1">
      <alignment horizontal="center" vertical="center" textRotation="90" wrapText="1"/>
    </xf>
    <xf numFmtId="2" fontId="12" fillId="15" borderId="1" xfId="0" applyNumberFormat="1" applyFont="1" applyFill="1" applyBorder="1" applyAlignment="1">
      <alignment horizontal="center" vertical="center" textRotation="90" wrapText="1"/>
    </xf>
    <xf numFmtId="0" fontId="12" fillId="15" borderId="1" xfId="0" applyFont="1" applyFill="1" applyBorder="1" applyAlignment="1">
      <alignment horizontal="center" vertical="center" textRotation="90" wrapText="1"/>
    </xf>
    <xf numFmtId="0" fontId="3" fillId="0" borderId="2" xfId="0" applyFont="1" applyBorder="1" applyAlignment="1">
      <alignment horizontal="center" vertical="center" wrapText="1"/>
    </xf>
    <xf numFmtId="0" fontId="0" fillId="3" borderId="0" xfId="0" applyFill="1" applyAlignment="1">
      <alignment horizontal="center" vertical="center"/>
    </xf>
    <xf numFmtId="0" fontId="15" fillId="3" borderId="0" xfId="0" applyFont="1" applyFill="1" applyAlignment="1">
      <alignment horizontal="left" vertical="center"/>
    </xf>
    <xf numFmtId="0" fontId="16" fillId="3" borderId="0" xfId="0" applyFont="1" applyFill="1" applyAlignment="1">
      <alignment horizontal="left" vertical="center"/>
    </xf>
    <xf numFmtId="0" fontId="15" fillId="3" borderId="0" xfId="0" applyFont="1" applyFill="1" applyAlignment="1">
      <alignment vertical="top" wrapText="1"/>
    </xf>
    <xf numFmtId="49" fontId="15" fillId="3" borderId="0" xfId="0" applyNumberFormat="1" applyFont="1" applyFill="1" applyAlignment="1">
      <alignment horizontal="left" vertical="center"/>
    </xf>
    <xf numFmtId="0" fontId="14" fillId="0" borderId="0" xfId="0" applyFont="1" applyAlignment="1">
      <alignment horizontal="center" vertical="center"/>
    </xf>
    <xf numFmtId="0" fontId="0" fillId="0" borderId="4" xfId="0" applyBorder="1"/>
    <xf numFmtId="0" fontId="17" fillId="0" borderId="0" xfId="0" applyFont="1" applyAlignment="1">
      <alignment horizontal="center" vertical="center" textRotation="90"/>
    </xf>
    <xf numFmtId="0" fontId="20" fillId="0" borderId="0" xfId="0" applyFont="1"/>
    <xf numFmtId="165" fontId="14" fillId="0" borderId="0" xfId="0" applyNumberFormat="1" applyFont="1" applyAlignment="1">
      <alignment horizontal="center" vertical="center"/>
    </xf>
    <xf numFmtId="0" fontId="22" fillId="0" borderId="0" xfId="0" applyFont="1" applyAlignment="1">
      <alignment horizontal="left" vertical="center"/>
    </xf>
    <xf numFmtId="0" fontId="8" fillId="0" borderId="0" xfId="0" applyFont="1" applyAlignment="1">
      <alignment horizontal="center" vertical="center" wrapText="1"/>
    </xf>
    <xf numFmtId="0" fontId="23" fillId="0" borderId="0" xfId="0" applyFont="1" applyAlignment="1">
      <alignment horizontal="left" vertical="center" wrapText="1"/>
    </xf>
    <xf numFmtId="0" fontId="24" fillId="0" borderId="0" xfId="0" applyFont="1" applyAlignment="1" applyProtection="1">
      <alignment horizontal="center" vertical="center" wrapText="1"/>
      <protection locked="0"/>
    </xf>
    <xf numFmtId="0" fontId="3" fillId="9" borderId="1" xfId="0" applyFont="1" applyFill="1" applyBorder="1" applyAlignment="1">
      <alignment horizontal="center" vertical="center" wrapText="1"/>
    </xf>
    <xf numFmtId="0" fontId="7" fillId="17" borderId="1" xfId="0" applyFont="1" applyFill="1" applyBorder="1" applyAlignment="1">
      <alignment horizontal="center" vertical="center" wrapText="1"/>
    </xf>
    <xf numFmtId="0" fontId="8" fillId="17"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0" fontId="7" fillId="5" borderId="1" xfId="0" applyFont="1" applyFill="1" applyBorder="1" applyAlignment="1">
      <alignment horizontal="center" vertical="center" wrapText="1"/>
    </xf>
    <xf numFmtId="0" fontId="7" fillId="19" borderId="1" xfId="0" applyFont="1" applyFill="1" applyBorder="1" applyAlignment="1">
      <alignment horizontal="center" vertical="center" wrapText="1"/>
    </xf>
    <xf numFmtId="1" fontId="8" fillId="8" borderId="1" xfId="0" applyNumberFormat="1" applyFont="1" applyFill="1" applyBorder="1" applyAlignment="1">
      <alignment horizontal="center" vertical="center" wrapText="1"/>
    </xf>
    <xf numFmtId="0" fontId="8" fillId="8" borderId="1" xfId="0" applyFont="1" applyFill="1" applyBorder="1" applyAlignment="1">
      <alignment horizontal="center" vertical="center" wrapText="1"/>
    </xf>
    <xf numFmtId="0" fontId="3" fillId="9" borderId="0" xfId="0" applyFont="1" applyFill="1" applyAlignment="1">
      <alignment horizontal="center" vertical="center" wrapText="1"/>
    </xf>
    <xf numFmtId="0" fontId="3" fillId="9" borderId="0" xfId="0" applyFont="1" applyFill="1" applyAlignment="1">
      <alignment horizontal="center" vertical="center"/>
    </xf>
    <xf numFmtId="0" fontId="3" fillId="9" borderId="3" xfId="0" applyFont="1" applyFill="1" applyBorder="1" applyAlignment="1">
      <alignment horizontal="center" vertical="center" wrapText="1"/>
    </xf>
    <xf numFmtId="165" fontId="8" fillId="17" borderId="3" xfId="0" applyNumberFormat="1" applyFont="1" applyFill="1" applyBorder="1" applyAlignment="1">
      <alignment horizontal="center" vertical="center" textRotation="90" wrapText="1"/>
    </xf>
    <xf numFmtId="0" fontId="0" fillId="0" borderId="0" xfId="0" applyAlignment="1">
      <alignment wrapText="1"/>
    </xf>
    <xf numFmtId="1" fontId="26" fillId="19" borderId="0" xfId="0" applyNumberFormat="1" applyFont="1" applyFill="1" applyAlignment="1">
      <alignment horizontal="center" vertical="center" textRotation="90" wrapText="1"/>
    </xf>
    <xf numFmtId="0" fontId="26" fillId="19" borderId="0" xfId="0" applyFont="1" applyFill="1" applyAlignment="1">
      <alignment horizontal="center" vertical="center" textRotation="90" wrapText="1"/>
    </xf>
    <xf numFmtId="0" fontId="27" fillId="18" borderId="0" xfId="0" applyFont="1" applyFill="1" applyAlignment="1">
      <alignment horizontal="center" vertical="center" textRotation="90" wrapText="1"/>
    </xf>
    <xf numFmtId="0" fontId="27" fillId="10" borderId="0" xfId="0" applyFont="1" applyFill="1" applyAlignment="1">
      <alignment horizontal="center" vertical="center" textRotation="90" wrapText="1"/>
    </xf>
    <xf numFmtId="0" fontId="27" fillId="18" borderId="3" xfId="0" applyFont="1" applyFill="1" applyBorder="1" applyAlignment="1">
      <alignment horizontal="center" vertical="center" textRotation="90" wrapText="1"/>
    </xf>
    <xf numFmtId="0" fontId="25" fillId="16" borderId="0" xfId="0" applyFont="1" applyFill="1" applyAlignment="1">
      <alignment horizontal="center" vertical="center" textRotation="90" wrapText="1"/>
    </xf>
    <xf numFmtId="0" fontId="27" fillId="11" borderId="0" xfId="0" applyFont="1" applyFill="1" applyAlignment="1">
      <alignment horizontal="center" vertical="center" textRotation="90" wrapText="1"/>
    </xf>
    <xf numFmtId="0" fontId="7" fillId="6" borderId="0" xfId="0" applyFont="1" applyFill="1" applyAlignment="1">
      <alignment horizontal="center" vertical="center" textRotation="90" wrapText="1"/>
    </xf>
    <xf numFmtId="0" fontId="1" fillId="0" borderId="0" xfId="0" applyFont="1"/>
    <xf numFmtId="0" fontId="1" fillId="0" borderId="0" xfId="0" applyFont="1" applyProtection="1">
      <protection locked="0"/>
    </xf>
    <xf numFmtId="0" fontId="6" fillId="0" borderId="0" xfId="0" applyFont="1"/>
    <xf numFmtId="0" fontId="19" fillId="0" borderId="0" xfId="0" applyFont="1"/>
    <xf numFmtId="1" fontId="1" fillId="0" borderId="0" xfId="0" applyNumberFormat="1" applyFont="1"/>
    <xf numFmtId="1" fontId="11" fillId="0" borderId="0" xfId="0" applyNumberFormat="1" applyFont="1"/>
    <xf numFmtId="0" fontId="11" fillId="0" borderId="0" xfId="0" applyFont="1" applyProtection="1">
      <protection locked="0"/>
    </xf>
    <xf numFmtId="1" fontId="11" fillId="0" borderId="0" xfId="0" applyNumberFormat="1" applyFont="1" applyProtection="1">
      <protection locked="0"/>
    </xf>
    <xf numFmtId="2" fontId="11" fillId="0" borderId="0" xfId="0" applyNumberFormat="1" applyFont="1" applyProtection="1">
      <protection locked="0"/>
    </xf>
    <xf numFmtId="1" fontId="6" fillId="0" borderId="0" xfId="0" applyNumberFormat="1" applyFont="1"/>
    <xf numFmtId="0" fontId="0" fillId="0" borderId="0" xfId="0" applyProtection="1">
      <protection locked="0"/>
    </xf>
    <xf numFmtId="0" fontId="1" fillId="21" borderId="0" xfId="0" applyFont="1" applyFill="1" applyAlignment="1" applyProtection="1">
      <alignment horizontal="center" vertical="center"/>
      <protection locked="0"/>
    </xf>
    <xf numFmtId="0" fontId="28" fillId="0" borderId="0" xfId="0" applyFont="1" applyAlignment="1">
      <alignment horizontal="center" vertical="center"/>
    </xf>
    <xf numFmtId="0" fontId="28" fillId="0" borderId="0" xfId="0" applyFont="1" applyAlignment="1">
      <alignment vertical="center"/>
    </xf>
    <xf numFmtId="0" fontId="21" fillId="3" borderId="0" xfId="0" applyFont="1" applyFill="1" applyAlignment="1">
      <alignment horizontal="center" vertical="center" wrapText="1"/>
    </xf>
    <xf numFmtId="0" fontId="30" fillId="3" borderId="0" xfId="0" applyFont="1" applyFill="1" applyAlignment="1">
      <alignment horizontal="center" vertical="center"/>
    </xf>
    <xf numFmtId="0" fontId="29" fillId="3" borderId="0" xfId="0" applyFont="1" applyFill="1" applyAlignment="1">
      <alignment horizontal="left" vertical="top" wrapText="1"/>
    </xf>
    <xf numFmtId="0" fontId="28" fillId="3" borderId="0" xfId="0" applyFont="1" applyFill="1" applyAlignment="1">
      <alignment horizontal="left" vertical="top" wrapText="1"/>
    </xf>
    <xf numFmtId="0" fontId="18" fillId="20" borderId="5" xfId="0" applyFont="1" applyFill="1" applyBorder="1" applyAlignment="1">
      <alignment horizontal="left" vertical="top" wrapText="1"/>
    </xf>
    <xf numFmtId="0" fontId="18" fillId="20" borderId="6" xfId="0" applyFont="1" applyFill="1" applyBorder="1" applyAlignment="1">
      <alignment horizontal="left" vertical="top" wrapText="1"/>
    </xf>
    <xf numFmtId="0" fontId="18" fillId="20" borderId="7" xfId="0" applyFont="1" applyFill="1" applyBorder="1" applyAlignment="1">
      <alignment horizontal="left" vertical="top" wrapText="1"/>
    </xf>
    <xf numFmtId="0" fontId="29" fillId="3" borderId="0" xfId="0" applyFont="1" applyFill="1" applyAlignment="1">
      <alignment vertical="top" wrapText="1"/>
    </xf>
    <xf numFmtId="49" fontId="29" fillId="3" borderId="0" xfId="0" applyNumberFormat="1" applyFont="1" applyFill="1" applyAlignment="1">
      <alignment horizontal="left" vertical="top"/>
    </xf>
    <xf numFmtId="0" fontId="29" fillId="3" borderId="0" xfId="0" applyFont="1" applyFill="1" applyAlignment="1">
      <alignment horizontal="left" vertical="center"/>
    </xf>
    <xf numFmtId="0" fontId="28" fillId="3" borderId="0" xfId="0" applyFont="1" applyFill="1" applyAlignment="1">
      <alignment horizontal="left" vertical="top"/>
    </xf>
    <xf numFmtId="1" fontId="14" fillId="5" borderId="0" xfId="0" applyNumberFormat="1" applyFont="1" applyFill="1" applyAlignment="1">
      <alignment horizontal="center" vertical="center" textRotation="90"/>
    </xf>
    <xf numFmtId="0" fontId="14" fillId="5" borderId="0" xfId="0" applyFont="1" applyFill="1" applyAlignment="1">
      <alignment horizontal="center" vertical="center" textRotation="90"/>
    </xf>
    <xf numFmtId="0" fontId="11" fillId="0" borderId="0" xfId="0" applyFont="1" applyAlignment="1">
      <alignment wrapText="1"/>
    </xf>
    <xf numFmtId="0" fontId="1" fillId="0" borderId="0" xfId="0" applyFont="1" applyAlignment="1">
      <alignment wrapText="1"/>
    </xf>
    <xf numFmtId="0" fontId="22" fillId="0" borderId="0" xfId="0" applyFont="1" applyAlignment="1">
      <alignment horizontal="center" vertical="center"/>
    </xf>
    <xf numFmtId="0" fontId="4" fillId="0" borderId="0" xfId="0" applyFont="1" applyAlignment="1">
      <alignment horizontal="left" vertical="center" wrapText="1"/>
    </xf>
    <xf numFmtId="0" fontId="1" fillId="0" borderId="0" xfId="0" applyFont="1" applyAlignment="1">
      <alignment horizontal="center" vertical="center"/>
    </xf>
    <xf numFmtId="0" fontId="2" fillId="22" borderId="7" xfId="0" applyFont="1" applyFill="1" applyBorder="1" applyAlignment="1" applyProtection="1">
      <alignment horizontal="center" vertical="center"/>
      <protection locked="0"/>
    </xf>
    <xf numFmtId="0" fontId="4" fillId="0" borderId="0" xfId="0" applyFont="1" applyAlignment="1">
      <alignment horizontal="center" vertical="center"/>
    </xf>
    <xf numFmtId="0" fontId="22" fillId="0" borderId="0" xfId="0" applyFont="1" applyAlignment="1">
      <alignment horizontal="left" vertical="center"/>
    </xf>
    <xf numFmtId="0" fontId="5" fillId="2" borderId="0" xfId="0" applyFont="1" applyFill="1" applyAlignment="1">
      <alignment horizontal="center" vertical="center"/>
    </xf>
  </cellXfs>
  <cellStyles count="1">
    <cellStyle name="Normal" xfId="0" builtinId="0"/>
  </cellStyles>
  <dxfs count="150">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16DB6"/>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963F"/>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E40613"/>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B0F0"/>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7030A0"/>
        </patternFill>
      </fill>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rgb="FF000000"/>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theme="4" tint="0.39994506668294322"/>
        </left>
        <right style="thin">
          <color theme="4" tint="0.39994506668294322"/>
        </right>
        <top/>
        <bottom/>
        <vertical style="thin">
          <color theme="4" tint="0.39994506668294322"/>
        </vertical>
        <horizontal style="thin">
          <color theme="4" tint="0.39994506668294322"/>
        </horizontal>
      </border>
      <protection locked="1" hidden="0"/>
    </dxf>
    <dxf>
      <font>
        <b/>
        <strike val="0"/>
        <condense val="0"/>
        <extend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border outline="0">
        <bottom style="thin">
          <color indexed="64"/>
        </bottom>
      </border>
    </dxf>
    <dxf>
      <font>
        <b/>
        <strike val="0"/>
        <condense val="0"/>
        <extend val="0"/>
        <outline val="0"/>
        <shadow val="0"/>
        <vertAlign val="baseline"/>
        <sz val="14"/>
        <color theme="1"/>
        <name val="Calibri"/>
        <family val="2"/>
        <scheme val="minor"/>
      </font>
      <fill>
        <patternFill patternType="solid">
          <fgColor indexed="64"/>
          <bgColor theme="9" tint="0.39997558519241921"/>
        </patternFill>
      </fill>
      <alignment horizontal="center" vertical="center" textRotation="90"/>
      <protection locked="1" hidden="0"/>
    </dxf>
    <dxf>
      <protection locked="1" hidden="0"/>
    </dxf>
    <dxf>
      <protection locked="1" hidden="0"/>
    </dxf>
    <dxf>
      <protection locked="1" hidden="0"/>
    </dxf>
    <dxf>
      <protection locked="1" hidden="0"/>
    </dxf>
    <dxf>
      <font>
        <b val="0"/>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vertAlign val="baseline"/>
        <sz val="16"/>
        <color theme="1"/>
        <name val="Calibri"/>
        <scheme val="minor"/>
      </font>
      <alignment horizontal="center" vertical="center"/>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2" formatCode="0.0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protection locked="0"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auto="1"/>
        <name val="Calibri"/>
        <family val="2"/>
        <scheme val="minor"/>
      </font>
      <numFmt numFmtId="0" formatCode="General"/>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border>
        <bottom style="thin">
          <color auto="1"/>
        </bottom>
      </border>
    </dxf>
    <dxf>
      <font>
        <b/>
        <strike val="0"/>
        <condense val="0"/>
        <extend val="0"/>
        <outline val="0"/>
        <shadow val="0"/>
        <vertAlign val="baseline"/>
        <sz val="14"/>
        <color auto="1"/>
        <name val="Calibri"/>
        <scheme val="minor"/>
      </font>
      <alignment horizontal="center" vertical="center" wrapText="1"/>
      <border>
        <left style="thin">
          <color auto="1"/>
        </left>
        <right style="thin">
          <color auto="1"/>
        </right>
        <top/>
        <bottom/>
        <vertical style="thin">
          <color auto="1"/>
        </vertical>
        <horizontal/>
      </border>
      <protection locked="1" hidden="0"/>
    </dxf>
    <dxf>
      <border>
        <bottom style="thin">
          <color rgb="FF002060"/>
        </bottom>
        <vertical/>
        <horizontal/>
      </border>
    </dxf>
  </dxfs>
  <tableStyles count="0" defaultTableStyle="TableStyleMedium2" defaultPivotStyle="PivotStyleLight16"/>
  <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fficialTeamList" displayName="OfficialTeamList" ref="A2:D3" insertRow="1" totalsRowShown="0" headerRowDxfId="122" dataDxfId="121">
  <autoFilter ref="A2:D3" xr:uid="{00000000-0009-0000-0100-000001000000}"/>
  <sortState xmlns:xlrd2="http://schemas.microsoft.com/office/spreadsheetml/2017/richdata2" ref="A3:D3">
    <sortCondition ref="A3"/>
  </sortState>
  <tableColumns count="4">
    <tableColumn id="1" xr3:uid="{00000000-0010-0000-0000-000001000000}" name="Team #" dataDxfId="120"/>
    <tableColumn id="2" xr3:uid="{00000000-0010-0000-0000-000002000000}" name="Team Name" dataDxfId="119"/>
    <tableColumn id="3" xr3:uid="{00000000-0010-0000-0000-000003000000}" name="Coach Name" dataDxfId="118"/>
    <tableColumn id="4" xr3:uid="{00000000-0010-0000-0000-000004000000}" name="Pod Number" dataDxfId="11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965C04D-04DE-4BE1-9968-C57C852C895B}" name="Advancing" displayName="Advancing" ref="A1:A4" totalsRowShown="0">
  <autoFilter ref="A1:A4" xr:uid="{4965C04D-04DE-4BE1-9968-C57C852C895B}"/>
  <tableColumns count="1">
    <tableColumn id="1" xr3:uid="{6E510760-26FF-4307-9401-CBC1DC1191F8}" name="Adva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eta" displayName="Meta" ref="A1:B2" insertRow="1" totalsRowShown="0" headerRowDxfId="116" dataDxfId="115">
  <autoFilter ref="A1:B2" xr:uid="{00000000-0009-0000-0100-000002000000}"/>
  <tableColumns count="2">
    <tableColumn id="1" xr3:uid="{00000000-0010-0000-0100-000001000000}" name="Key" dataDxfId="114"/>
    <tableColumn id="2" xr3:uid="{00000000-0010-0000-0100-000002000000}" name="Value" dataDxfId="11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35E6FC7-ABB3-44EF-8F9A-EBF699B1222F}" name="AwardListDropdowns" displayName="AwardListDropdowns" ref="A2:B3" insertRow="1" totalsRowShown="0">
  <autoFilter ref="A2:B3" xr:uid="{935E6FC7-ABB3-44EF-8F9A-EBF699B1222F}"/>
  <tableColumns count="2">
    <tableColumn id="1" xr3:uid="{CE237E0F-E5C9-450C-B71B-1C7768DD5AEC}" name="Award"/>
    <tableColumn id="2" xr3:uid="{328EE640-BC79-44D5-89D3-5A903E95B0C3}" name="ID"/>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E29B2AA-8BB3-4536-B70D-2CF6854F722E}" name="RobotGameAwards" displayName="RobotGameAwards" ref="D2:D3" insertRow="1" totalsRowShown="0">
  <autoFilter ref="D2:D3" xr:uid="{7E29B2AA-8BB3-4536-B70D-2CF6854F722E}"/>
  <tableColumns count="1">
    <tableColumn id="1" xr3:uid="{A9F4A3CD-64A6-4E7E-948B-D459942780CE}" name="Robot Game Award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A60105D-65EE-4571-8901-56D64658BBF8}" name="AwardDef" displayName="AwardDef" ref="A1:J2" insertRow="1" totalsRowShown="0">
  <autoFilter ref="A1:J2" xr:uid="{4A60105D-65EE-4571-8901-56D64658BBF8}"/>
  <tableColumns count="10">
    <tableColumn id="1" xr3:uid="{97F1F6E1-3F98-4FD7-BC7F-E3F63A97F117}" name="ColumnName"/>
    <tableColumn id="2" xr3:uid="{098F2C59-021C-472E-ABE4-F24EA74A9044}" name="Name"/>
    <tableColumn id="3" xr3:uid="{D59132ED-B8CC-49B0-87F0-2DFC53707E15}" name="DivAward"/>
    <tableColumn id="4" xr3:uid="{860CA091-BCAD-470A-BE18-965B06A531EA}" name="Count"/>
    <tableColumn id="7" xr3:uid="{9CFA42FE-D6B7-4F8E-9C77-82F40C35F5FF}" name="Label1"/>
    <tableColumn id="8" xr3:uid="{D5325F22-7E43-4DE2-A5EF-7681A7B9D573}" name="Label2"/>
    <tableColumn id="9" xr3:uid="{0CBAFB7A-31D2-4C57-A445-E9C3A6FF65A2}" name="Label3"/>
    <tableColumn id="19" xr3:uid="{457C61B9-6B34-4DAB-A868-8FB062B32168}" name="ScriptTagD1"/>
    <tableColumn id="10" xr3:uid="{8F1C05C7-30A5-4F37-B0C4-1EEA33F29B8F}" name="ScriptTagD2"/>
    <tableColumn id="11" xr3:uid="{B363D76D-DE60-49C7-B3D8-86FA9776BFE7}" name="ScriptTagNoDiv"/>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ournamentData" displayName="TournamentData" ref="A2:W3" totalsRowShown="0" headerRowDxfId="148" dataDxfId="146" headerRowBorderDxfId="147">
  <autoFilter ref="A2:W3" xr:uid="{00000000-0009-0000-0100-000003000000}"/>
  <sortState xmlns:xlrd2="http://schemas.microsoft.com/office/spreadsheetml/2017/richdata2" ref="A3:W3">
    <sortCondition ref="A3"/>
  </sortState>
  <tableColumns count="23">
    <tableColumn id="1" xr3:uid="{00000000-0010-0000-0200-000001000000}" name="Team #" dataDxfId="145"/>
    <tableColumn id="13" xr3:uid="{B6F7889F-87AA-4A84-B629-ACB1A9C3B938}" name="POD" dataDxfId="144">
      <calculatedColumnFormula>INDEX(OfficialTeamList[Pod Number],MATCH(TournamentData[[#This Row],[Team '#]], OfficialTeamList[Team '#],0))</calculatedColumnFormula>
    </tableColumn>
    <tableColumn id="2" xr3:uid="{00000000-0010-0000-0200-000002000000}" name="Team Name" dataDxfId="143">
      <calculatedColumnFormula>INDEX(OfficialTeamList[Team Name],MATCH(TournamentData[[#This Row],[Team '#]], OfficialTeamList[Team '#],0))</calculatedColumnFormula>
    </tableColumn>
    <tableColumn id="6" xr3:uid="{00000000-0010-0000-0200-000006000000}" name="Robot Game Score 1" dataDxfId="142">
      <calculatedColumnFormula>IF(TournamentData[[#This Row],[Team '#]]="","",IF(ISNA(INDEX('Robot Game Scores'!C:C,MATCH(TournamentData[[#This Row],[Team '#]], 'Robot Game Scores'!$A:$A,0))),0,INDEX('Robot Game Scores'!C:C,MATCH(TournamentData[[#This Row],[Team '#]], 'Robot Game Scores'!$A:$A,0))))</calculatedColumnFormula>
    </tableColumn>
    <tableColumn id="7" xr3:uid="{00000000-0010-0000-0200-000007000000}" name="Robot Game Score 2" dataDxfId="141">
      <calculatedColumnFormula>IF(TournamentData[[#This Row],[Team '#]]="","",IF(ISNA(INDEX('Robot Game Scores'!D:D,MATCH(TournamentData[[#This Row],[Team '#]], 'Robot Game Scores'!$A:$A,0))),0,INDEX('Robot Game Scores'!D:D,MATCH(TournamentData[[#This Row],[Team '#]], 'Robot Game Scores'!$A:$A,0))))</calculatedColumnFormula>
    </tableColumn>
    <tableColumn id="8" xr3:uid="{00000000-0010-0000-0200-000008000000}" name="Robot Game Score 3" dataDxfId="140">
      <calculatedColumnFormula>IF(TournamentData[[#This Row],[Team '#]]="","",IF(ISNA(INDEX('Robot Game Scores'!E:E,MATCH(TournamentData[[#This Row],[Team '#]], 'Robot Game Scores'!$A:$A,0))),0,INDEX('Robot Game Scores'!E:E,MATCH(TournamentData[[#This Row],[Team '#]], 'Robot Game Scores'!$A:$A,0))))</calculatedColumnFormula>
    </tableColumn>
    <tableColumn id="16" xr3:uid="{00000000-0010-0000-0200-000010000000}" name="Robot Game Score 4" dataDxfId="139">
      <calculatedColumnFormula>IF(TournamentData[[#This Row],[Team '#]]="","",IF(ISNA(INDEX('Robot Game Scores'!#REF!,MATCH(TournamentData[[#This Row],[Team '#]], 'Robot Game Scores'!$A:$A,0))),0,INDEX('Robot Game Scores'!#REF!,MATCH(TournamentData[[#This Row],[Team '#]], 'Robot Game Scores'!$A:$A,0))))</calculatedColumnFormula>
    </tableColumn>
    <tableColumn id="9" xr3:uid="{00000000-0010-0000-0200-000009000000}" name="Robot Game Score 5" dataDxfId="138">
      <calculatedColumnFormula>IF(TournamentData[[#This Row],[Team '#]]="","",IF(ISNA(INDEX('Robot Game Scores'!#REF!,MATCH(TournamentData[[#This Row],[Team '#]], 'Robot Game Scores'!$A:$A,0))),0,INDEX('Robot Game Scores'!#REF!,MATCH(TournamentData[[#This Row],[Team '#]], 'Robot Game Scores'!$A:$A,0))))</calculatedColumnFormula>
    </tableColumn>
    <tableColumn id="10" xr3:uid="{00000000-0010-0000-0200-00000A000000}" name="Max Robot Game Score" dataDxfId="137">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xr3:uid="{00000000-0010-0000-0200-00000F000000}" name="Robot Game Rank" dataDxfId="136">
      <calculatedColumnFormula>_xlfn.RANK.EQ(TournamentData[[#This Row],[Max Robot Game Score]],TournamentData[Max Robot Game Score])</calculatedColumnFormula>
    </tableColumn>
    <tableColumn id="3" xr3:uid="{00000000-0010-0000-0200-000003000000}" name="Core Values Rank" dataDxfId="135">
      <calculatedColumnFormula>INDEX(CoreValuesResults[Core Values Rank],MATCH(TournamentData[[#This Row],[Team '#]],CoreValuesResults[Team '#],0))</calculatedColumnFormula>
    </tableColumn>
    <tableColumn id="4" xr3:uid="{00000000-0010-0000-0200-000004000000}" name="Innovation Project Rank" dataDxfId="134">
      <calculatedColumnFormula>INDEX(InnovationProjectResults[Innovation Project Rank],MATCH(TournamentData[[#This Row],[Team '#]],InnovationProjectResults[Team '#],0))</calculatedColumnFormula>
    </tableColumn>
    <tableColumn id="5" xr3:uid="{00000000-0010-0000-0200-000005000000}" name="Robot Design Rank" dataDxfId="133">
      <calculatedColumnFormula>INDEX(RobotDesignResults[Robot Design Rank],MATCH(TournamentData[[#This Row],[Team '#]],RobotDesignResults[Team '#],0))</calculatedColumnFormula>
    </tableColumn>
    <tableColumn id="14" xr3:uid="{00000000-0010-0000-0200-00000E000000}" name="Champion's Score" dataDxfId="132">
      <calculatedColumnFormula>SUM(TournamentData[[#This Row],[Robot Game Rank]:[Robot Design Rank]])</calculatedColumnFormula>
    </tableColumn>
    <tableColumn id="11" xr3:uid="{00000000-0010-0000-0200-00000B000000}" name="Champion's Rank" dataDxfId="131">
      <calculatedColumnFormula>RANK(TournamentData[[#This Row],[Champion''s Score]],TournamentData[Champion''s Score],1)</calculatedColumnFormula>
    </tableColumn>
    <tableColumn id="12" xr3:uid="{00000000-0010-0000-0200-00000C000000}" name="Award" dataDxfId="130"/>
    <tableColumn id="21" xr3:uid="{00000000-0010-0000-0200-000015000000}" name="Advance?" dataDxfId="129" dataCellStyle="Normal"/>
    <tableColumn id="28" xr3:uid="{00000000-0010-0000-0200-00001C000000}" name="Core Values Score" dataDxfId="128">
      <calculatedColumnFormula>IF(ISNA(INDEX(CoreValuesResults[Core Values Score],MATCH(TournamentData[[#This Row],[Team '#]],CoreValuesResults[Team '#],0))),0,INDEX(CoreValuesResults[Core Values Score],MATCH(TournamentData[[#This Row],[Team '#]],CoreValuesResults[Team '#],0)))</calculatedColumnFormula>
    </tableColumn>
    <tableColumn id="27" xr3:uid="{00000000-0010-0000-0200-00001B000000}" name="Innovattion Project Score" dataDxfId="127">
      <calculatedColumnFormula>IF(ISNA(INDEX(InnovationProjectResults[Innovation Project Score],MATCH(TournamentData[[#This Row],[Team '#]],InnovationProjectResults[Team '#],0))),0,INDEX(InnovationProjectResults[Innovation Project Score],MATCH(TournamentData[[#This Row],[Team '#]],InnovationProjectResults[Team '#],0)))</calculatedColumnFormula>
    </tableColumn>
    <tableColumn id="26" xr3:uid="{00000000-0010-0000-0200-00001A000000}" name="Robot Design Score" dataDxfId="126">
      <calculatedColumnFormula>IF(ISNA(INDEX(RobotDesignResults[Robot Design Score],MATCH(TournamentData[[#This Row],[Team '#]],RobotDesignResults[Team '#],0))),0,INDEX(RobotDesignResults[Robot Design Score],MATCH(TournamentData[[#This Row],[Team '#]],RobotDesignResults[Team '#],0)))</calculatedColumnFormula>
    </tableColumn>
    <tableColumn id="25" xr3:uid="{00000000-0010-0000-0200-000019000000}" name="Overall Score - Geometric Mean" dataDxfId="125">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xr3:uid="{00000000-0010-0000-0200-000018000000}" name="Overall Ranking - Geometric Mean" dataDxfId="124">
      <calculatedColumnFormula>IF(U3,_xlfn.RANK.EQ(U3,U$3:U$3,0),NumberOfTeams)</calculatedColumnFormula>
    </tableColumn>
    <tableColumn id="20" xr3:uid="{00000000-0010-0000-0200-000014000000}" name="Comments" dataDxfId="12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obotGameScores" displayName="RobotGameScores" ref="A1:F2" totalsRowShown="0" headerRowDxfId="112" dataDxfId="110" headerRowBorderDxfId="111">
  <autoFilter ref="A1:F2" xr:uid="{00000000-0009-0000-0100-000004000000}"/>
  <sortState xmlns:xlrd2="http://schemas.microsoft.com/office/spreadsheetml/2017/richdata2" ref="A2:F2">
    <sortCondition ref="A2"/>
  </sortState>
  <tableColumns count="6">
    <tableColumn id="2" xr3:uid="{00000000-0010-0000-0300-000002000000}" name="Team #" dataDxfId="109"/>
    <tableColumn id="9" xr3:uid="{00000000-0010-0000-0300-000009000000}" name="Team Name" dataDxfId="108">
      <calculatedColumnFormula>INDEX(OfficialTeamList[Team Name],MATCH(RobotGameScores[[#This Row],[Team '#]], OfficialTeamList[Team '#],0))</calculatedColumnFormula>
    </tableColumn>
    <tableColumn id="3" xr3:uid="{00000000-0010-0000-0300-000003000000}" name="Robot Game 1 Score" dataDxfId="107"/>
    <tableColumn id="4" xr3:uid="{00000000-0010-0000-0300-000004000000}" name="Robot Game 2 Score" dataDxfId="106"/>
    <tableColumn id="5" xr3:uid="{00000000-0010-0000-0300-000005000000}" name="Robot Game 3 Score" dataDxfId="105"/>
    <tableColumn id="8" xr3:uid="{00000000-0010-0000-0300-000008000000}" name="Highest Robot Game Score" dataDxfId="104">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InnovationProjectResults" displayName="InnovationProjectResults" ref="A1:O2" totalsRowShown="0" headerRowDxfId="103" dataDxfId="102">
  <autoFilter ref="A1:O2" xr:uid="{00000000-0009-0000-0100-000005000000}"/>
  <sortState xmlns:xlrd2="http://schemas.microsoft.com/office/spreadsheetml/2017/richdata2" ref="A2:O2">
    <sortCondition ref="A2"/>
  </sortState>
  <tableColumns count="15">
    <tableColumn id="1" xr3:uid="{00000000-0010-0000-0400-000001000000}" name="Team #" dataDxfId="101"/>
    <tableColumn id="6" xr3:uid="{E46BEA07-C782-4EA7-A684-AB5012889F0E}" name="POD" dataDxfId="100">
      <calculatedColumnFormula>INDEX(OfficialTeamList[Pod Number],MATCH(InnovationProjectResults[[#This Row],[Team '#]], OfficialTeamList[Team '#],0))</calculatedColumnFormula>
    </tableColumn>
    <tableColumn id="2" xr3:uid="{00000000-0010-0000-0400-000002000000}" name="Team Name" dataDxfId="99">
      <calculatedColumnFormula>INDEX(OfficialTeamList[Team Name],MATCH(InnovationProjectResults[[#This Row],[Team '#]], OfficialTeamList[Team '#],0))</calculatedColumnFormula>
    </tableColumn>
    <tableColumn id="3" xr3:uid="{00000000-0010-0000-0400-000003000000}" name="Identify - Define" dataDxfId="98"/>
    <tableColumn id="4" xr3:uid="{00000000-0010-0000-0400-000004000000}" name="Identify - Research (CV)" dataDxfId="97"/>
    <tableColumn id="5" xr3:uid="{00000000-0010-0000-0400-000005000000}" name="Design - Plan" dataDxfId="96"/>
    <tableColumn id="7" xr3:uid="{00000000-0010-0000-0400-000007000000}" name="Design - Teamwork (CV)" dataDxfId="95"/>
    <tableColumn id="10" xr3:uid="{00000000-0010-0000-0400-00000A000000}" name="Create - Innovation (CV)" dataDxfId="94"/>
    <tableColumn id="8" xr3:uid="{00000000-0010-0000-0400-000008000000}" name="Create - Model" dataDxfId="93"/>
    <tableColumn id="9" xr3:uid="{00000000-0010-0000-0400-000009000000}" name="Iterate - Sharing" dataDxfId="92"/>
    <tableColumn id="11" xr3:uid="{00000000-0010-0000-0400-00000B000000}" name="Iterate - Improvement" dataDxfId="91"/>
    <tableColumn id="12" xr3:uid="{00000000-0010-0000-0400-00000C000000}" name="Communicate - Impact (CV)" dataDxfId="90"/>
    <tableColumn id="13" xr3:uid="{00000000-0010-0000-0400-00000D000000}" name="Communicate - Fun (CV)" dataDxfId="89"/>
    <tableColumn id="19" xr3:uid="{00000000-0010-0000-0400-000013000000}" name="Innovation Project Score" dataDxfId="88">
      <calculatedColumnFormula>SUM(InnovationProjectResults[[#This Row],[Identify - Define]:[Communicate - Fun (CV)]])</calculatedColumnFormula>
    </tableColumn>
    <tableColumn id="20" xr3:uid="{00000000-0010-0000-0400-000014000000}" name="Innovation Project Rank" dataDxfId="87">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RobotDesignResults" displayName="RobotDesignResults" ref="A1:O2" totalsRowShown="0" headerRowDxfId="86" dataDxfId="85">
  <autoFilter ref="A1:O2" xr:uid="{00000000-0009-0000-0100-000006000000}"/>
  <sortState xmlns:xlrd2="http://schemas.microsoft.com/office/spreadsheetml/2017/richdata2" ref="A2:O2">
    <sortCondition ref="A2"/>
  </sortState>
  <tableColumns count="15">
    <tableColumn id="1" xr3:uid="{00000000-0010-0000-0500-000001000000}" name="Team #" dataDxfId="84"/>
    <tableColumn id="10" xr3:uid="{C0D2F65A-10A9-404F-9BBE-190FF9BD2C0E}" name="POD" dataDxfId="83">
      <calculatedColumnFormula>INDEX(OfficialTeamList[Pod Number],MATCH(RobotDesignResults[[#This Row],[Team '#]], OfficialTeamList[Team '#],0))</calculatedColumnFormula>
    </tableColumn>
    <tableColumn id="2" xr3:uid="{00000000-0010-0000-0500-000002000000}" name="Team Name" dataDxfId="82">
      <calculatedColumnFormula>INDEX(OfficialTeamList[Team Name],MATCH(RobotDesignResults[[#This Row],[Team '#]], OfficialTeamList[Team '#],0))</calculatedColumnFormula>
    </tableColumn>
    <tableColumn id="3" xr3:uid="{00000000-0010-0000-0500-000003000000}" name="Identify - Strategy" dataDxfId="81"/>
    <tableColumn id="4" xr3:uid="{00000000-0010-0000-0500-000004000000}" name="Identify - Research (CV)" dataDxfId="80"/>
    <tableColumn id="5" xr3:uid="{00000000-0010-0000-0500-000005000000}" name="Design - Ideas (CV)" dataDxfId="79"/>
    <tableColumn id="7" xr3:uid="{00000000-0010-0000-0500-000007000000}" name="Design - Building/Coding" dataDxfId="78"/>
    <tableColumn id="6" xr3:uid="{00000000-0010-0000-0500-000006000000}" name="Create - Attachments" dataDxfId="77"/>
    <tableColumn id="8" xr3:uid="{00000000-0010-0000-0500-000008000000}" name="Create - Code/ Sensors" dataDxfId="76"/>
    <tableColumn id="9" xr3:uid="{00000000-0010-0000-0500-000009000000}" name="Iterate - Testing" dataDxfId="75"/>
    <tableColumn id="11" xr3:uid="{00000000-0010-0000-0500-00000B000000}" name="Iterate - Improvements (CV)" dataDxfId="74"/>
    <tableColumn id="12" xr3:uid="{00000000-0010-0000-0500-00000C000000}" name="Communicate - Impact (CV)" dataDxfId="73"/>
    <tableColumn id="13" xr3:uid="{00000000-0010-0000-0500-00000D000000}" name="Communicate - Fun (CV)" dataDxfId="72"/>
    <tableColumn id="19" xr3:uid="{00000000-0010-0000-0500-000013000000}" name="Robot Design Score" dataDxfId="71">
      <calculatedColumnFormula>SUM(RobotDesignResults[[#This Row],[Identify - Strategy]:[Communicate - Fun (CV)]])</calculatedColumnFormula>
    </tableColumn>
    <tableColumn id="20" xr3:uid="{00000000-0010-0000-0500-000014000000}" name="Robot Design Rank" dataDxfId="70">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CoreValuesResults" displayName="CoreValuesResults" ref="A1:T2" totalsRowShown="0" headerRowDxfId="69" dataDxfId="68">
  <autoFilter ref="A1:T2" xr:uid="{00000000-0009-0000-0100-000007000000}"/>
  <sortState xmlns:xlrd2="http://schemas.microsoft.com/office/spreadsheetml/2017/richdata2" ref="A2:T2">
    <sortCondition ref="A2"/>
  </sortState>
  <tableColumns count="20">
    <tableColumn id="1" xr3:uid="{00000000-0010-0000-0600-000001000000}" name="Team #" dataDxfId="67"/>
    <tableColumn id="9" xr3:uid="{4361BCCF-6CA1-40A6-8943-E181C815C404}" name="POD" dataDxfId="66">
      <calculatedColumnFormula>INDEX(OfficialTeamList[Pod Number],MATCH(CoreValuesResults[[#This Row],[Team '#]], OfficialTeamList[Team '#],0))</calculatedColumnFormula>
    </tableColumn>
    <tableColumn id="2" xr3:uid="{00000000-0010-0000-0600-000002000000}" name="Team Name" dataDxfId="65">
      <calculatedColumnFormula>INDEX(OfficialTeamList[Team Name],MATCH(CoreValuesResults[[#This Row],[Team '#]], OfficialTeamList[Team '#],0))</calculatedColumnFormula>
    </tableColumn>
    <tableColumn id="3" xr3:uid="{00000000-0010-0000-0600-000003000000}" name="Identify - Research (CV-IP)" dataDxfId="64">
      <calculatedColumnFormula>INDEX(InnovationProjectResults[Identify - Research (CV)],MATCH(CoreValuesResults[[#This Row],[Team '#]],InnovationProjectResults[Team '#],0))</calculatedColumnFormula>
    </tableColumn>
    <tableColumn id="4" xr3:uid="{00000000-0010-0000-0600-000004000000}" name="Design - Teamwork (CV-IP)" dataDxfId="63">
      <calculatedColumnFormula>INDEX(InnovationProjectResults[Design - Teamwork (CV)],MATCH(CoreValuesResults[[#This Row],[Team '#]],InnovationProjectResults[Team '#],0))</calculatedColumnFormula>
    </tableColumn>
    <tableColumn id="5" xr3:uid="{00000000-0010-0000-0600-000005000000}" name="Create - Innovation (CV-IP)" dataDxfId="62">
      <calculatedColumnFormula>INDEX(InnovationProjectResults[Create - Innovation (CV)],MATCH(CoreValuesResults[[#This Row],[Team '#]],InnovationProjectResults[Team '#],0))</calculatedColumnFormula>
    </tableColumn>
    <tableColumn id="11" xr3:uid="{00000000-0010-0000-0600-00000B000000}" name="Communicate - Impact (CV-IP)" dataDxfId="61">
      <calculatedColumnFormula>INDEX(InnovationProjectResults[Communicate - Impact (CV)],MATCH(CoreValuesResults[[#This Row],[Team '#]],InnovationProjectResults[Team '#],0))</calculatedColumnFormula>
    </tableColumn>
    <tableColumn id="12" xr3:uid="{00000000-0010-0000-0600-00000C000000}" name="Communicate - Fun (CV-IP)" dataDxfId="60">
      <calculatedColumnFormula>INDEX(InnovationProjectResults[Communicate - Fun (CV)],MATCH(CoreValuesResults[[#This Row],[Team '#]],InnovationProjectResults[Team '#],0))</calculatedColumnFormula>
    </tableColumn>
    <tableColumn id="22" xr3:uid="{00000000-0010-0000-0600-000016000000}" name="Identify - Research (CV-RD)" dataDxfId="59">
      <calculatedColumnFormula>INDEX(RobotDesignResults[Identify - Research (CV)],MATCH(CoreValuesResults[[#This Row],[Team '#]],RobotDesignResults[Team '#],0))</calculatedColumnFormula>
    </tableColumn>
    <tableColumn id="25" xr3:uid="{00000000-0010-0000-0600-000019000000}" name="Design - Ideas (CV-RD)" dataDxfId="58">
      <calculatedColumnFormula>INDEX(RobotDesignResults[Design - Ideas (CV)],MATCH(CoreValuesResults[[#This Row],[Team '#]],RobotDesignResults[Team '#],0))</calculatedColumnFormula>
    </tableColumn>
    <tableColumn id="24" xr3:uid="{00000000-0010-0000-0600-000018000000}" name="Iterate - Improvements (CV-RD)" dataDxfId="57">
      <calculatedColumnFormula>INDEX(RobotDesignResults[Iterate - Improvements (CV)],MATCH(CoreValuesResults[[#This Row],[Team '#]],RobotDesignResults[Team '#],0))</calculatedColumnFormula>
    </tableColumn>
    <tableColumn id="23" xr3:uid="{00000000-0010-0000-0600-000017000000}" name="Communicate - Impact (CV-RD)" dataDxfId="56">
      <calculatedColumnFormula>INDEX(RobotDesignResults[Communicate - Impact (CV)],MATCH(CoreValuesResults[[#This Row],[Team '#]],RobotDesignResults[Team '#],0))</calculatedColumnFormula>
    </tableColumn>
    <tableColumn id="13" xr3:uid="{00000000-0010-0000-0600-00000D000000}" name="Communicate - Fun (CV-RD)" dataDxfId="55">
      <calculatedColumnFormula>INDEX(RobotDesignResults[Communicate - Fun (CV)],MATCH(CoreValuesResults[[#This Row],[Team '#]],RobotDesignResults[Team '#],0))</calculatedColumnFormula>
    </tableColumn>
    <tableColumn id="7" xr3:uid="{00000000-0010-0000-0600-000007000000}" name="Gracious Professionalism 1" dataDxfId="54"/>
    <tableColumn id="8" xr3:uid="{00000000-0010-0000-0600-000008000000}" name="Gracious Professionalism 2" dataDxfId="53"/>
    <tableColumn id="6" xr3:uid="{00000000-0010-0000-0600-000006000000}" name="Gracious Professionalism 3" dataDxfId="52"/>
    <tableColumn id="14" xr3:uid="{00000000-0010-0000-0600-00000E000000}" name="Gracious Professionalism Total" dataDxfId="51">
      <calculatedColumnFormula>SUM(CoreValuesResults[[#This Row],[Gracious Professionalism 1]:[Gracious Professionalism 3]])</calculatedColumnFormula>
    </tableColumn>
    <tableColumn id="18" xr3:uid="{00000000-0010-0000-0600-000012000000}" name="Gracious Professionalism Score" dataDxfId="50">
      <calculatedColumnFormula>SUM(N2:Q2)</calculatedColumnFormula>
    </tableColumn>
    <tableColumn id="19" xr3:uid="{00000000-0010-0000-0600-000013000000}" name="Core Values Score" dataDxfId="49">
      <calculatedColumnFormula>SUM(CoreValuesResults[[#This Row],[Identify - Research (CV-IP)]:[Communicate - Fun (CV-RD)]],CoreValuesResults[[#This Row],[Gracious Professionalism Score]])</calculatedColumnFormula>
    </tableColumn>
    <tableColumn id="20" xr3:uid="{00000000-0010-0000-0600-000014000000}" name="Core Values Rank" dataDxfId="48">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ChampionsDelib" displayName="ChampionsDelib" ref="B3:E18" totalsRowShown="0" headerRowDxfId="47" dataDxfId="46">
  <autoFilter ref="B3:E18" xr:uid="{00000000-0009-0000-0100-000008000000}"/>
  <tableColumns count="4">
    <tableColumn id="1" xr3:uid="{00000000-0010-0000-0700-000001000000}" name="Team Number" dataDxfId="45"/>
    <tableColumn id="2" xr3:uid="{00000000-0010-0000-0700-000002000000}" name="Team Name" dataDxfId="44">
      <calculatedColumnFormula>IF(ISNA(INDEX(OfficialTeamList[Team Name],MATCH(ChampionsDelib[[#This Row],[Team Number]], OfficialTeamList[Team '#],0))),"",INDEX(OfficialTeamList[Team Name],MATCH(ChampionsDelib[[#This Row],[Team Number]], OfficialTeamList[Team '#],0)))</calculatedColumnFormula>
    </tableColumn>
    <tableColumn id="3" xr3:uid="{00000000-0010-0000-0700-000003000000}" name="Champion's Rank" dataDxfId="43">
      <calculatedColumnFormula>IF(ISNA(INDEX(TournamentData[Champion''s Rank],MATCH(ChampionsDelib[[#This Row],[Team Number]],TournamentData[Team '#],0))),NumberOfTeams+1,INDEX(TournamentData[Champion''s Rank],MATCH(ChampionsDelib[[#This Row],[Team Number]],TournamentData[Team '#],0)))</calculatedColumnFormula>
    </tableColumn>
    <tableColumn id="4" xr3:uid="{00000000-0010-0000-0700-000004000000}" name="Deliberated Rank" dataDxfId="42"/>
  </tableColumns>
  <tableStyleInfo name="TableStyleMedium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RobotGameDelib" displayName="RobotGameDelib" ref="G3:J18" totalsRowShown="0" headerRowDxfId="41" dataDxfId="40">
  <autoFilter ref="G3:J18" xr:uid="{00000000-0009-0000-0100-000009000000}"/>
  <tableColumns count="4">
    <tableColumn id="1" xr3:uid="{00000000-0010-0000-0800-000001000000}" name="Team Number" dataDxfId="39"/>
    <tableColumn id="2" xr3:uid="{00000000-0010-0000-0800-000002000000}" name="Team Name" dataDxfId="38">
      <calculatedColumnFormula>IF(ISNA(INDEX(OfficialTeamList[Team Name],MATCH(RobotGameDelib[[#This Row],[Team Number]], OfficialTeamList[Team '#],0))),"",INDEX(OfficialTeamList[Team Name],MATCH(RobotGameDelib[[#This Row],[Team Number]], OfficialTeamList[Team '#],0)))</calculatedColumnFormula>
    </tableColumn>
    <tableColumn id="3" xr3:uid="{00000000-0010-0000-0800-000003000000}" name="Champion's Rank" dataDxfId="37">
      <calculatedColumnFormula>IF(ISNA(INDEX(TournamentData[Champion''s Rank],MATCH(RobotGameDelib[[#This Row],[Team Number]],TournamentData[Team '#],0))),NumberOfTeams+1,INDEX(TournamentData[Champion''s Rank],MATCH(RobotGameDelib[[#This Row],[Team Number]],TournamentData[Team '#],0)))</calculatedColumnFormula>
    </tableColumn>
    <tableColumn id="4" xr3:uid="{00000000-0010-0000-0800-000004000000}" name="Deliberated Rank" dataDxfId="36"/>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CoreValuesDelib" displayName="CoreValuesDelib" ref="B21:E36" totalsRowShown="0" headerRowDxfId="35" dataDxfId="34">
  <autoFilter ref="B21:E36" xr:uid="{00000000-0009-0000-0100-00000A000000}"/>
  <tableColumns count="4">
    <tableColumn id="1" xr3:uid="{00000000-0010-0000-0900-000001000000}" name="Team Number" dataDxfId="33"/>
    <tableColumn id="2" xr3:uid="{00000000-0010-0000-0900-000002000000}" name="Team Name" dataDxfId="32">
      <calculatedColumnFormula>IF(ISNA(INDEX(OfficialTeamList[Team Name],MATCH(CoreValuesDelib[[#This Row],[Team Number]], OfficialTeamList[Team '#],0))),"",INDEX(OfficialTeamList[Team Name],MATCH(CoreValuesDelib[[#This Row],[Team Number]], OfficialTeamList[Team '#],0)))</calculatedColumnFormula>
    </tableColumn>
    <tableColumn id="3" xr3:uid="{00000000-0010-0000-0900-000003000000}" name="Core Values Rank" dataDxfId="31">
      <calculatedColumnFormula>IF(ISNA(INDEX(CoreValuesResults[Core Values Rank],MATCH(CoreValuesDelib[[#This Row],[Team Number]],CoreValuesResults[Team '#],0))),NumberOfTeams+1,INDEX(CoreValuesResults[Core Values Rank],MATCH(CoreValuesDelib[[#This Row],[Team Number]],CoreValuesResults[Team '#],0)))</calculatedColumnFormula>
    </tableColumn>
    <tableColumn id="4" xr3:uid="{00000000-0010-0000-0900-000004000000}" name="Deliberated Rank" dataDxfId="30"/>
  </tableColumns>
  <tableStyleInfo name="TableStyleMedium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RobotDesignDelib" displayName="RobotDesignDelib" ref="G21:J36" totalsRowShown="0" headerRowDxfId="29" dataDxfId="28">
  <autoFilter ref="G21:J36" xr:uid="{00000000-0009-0000-0100-00000B000000}"/>
  <tableColumns count="4">
    <tableColumn id="1" xr3:uid="{00000000-0010-0000-0A00-000001000000}" name="Team Number" dataDxfId="27"/>
    <tableColumn id="2" xr3:uid="{00000000-0010-0000-0A00-000002000000}" name="Team Name" dataDxfId="26">
      <calculatedColumnFormula>IF(ISNA(INDEX(OfficialTeamList[Team Name],MATCH(RobotDesignDelib[[#This Row],[Team Number]], OfficialTeamList[Team '#],0))),"",INDEX(OfficialTeamList[Team Name],MATCH(RobotDesignDelib[[#This Row],[Team Number]], OfficialTeamList[Team '#],0)))</calculatedColumnFormula>
    </tableColumn>
    <tableColumn id="3" xr3:uid="{00000000-0010-0000-0A00-000003000000}" name="Robot Design Rank" dataDxfId="25">
      <calculatedColumnFormula>IF(ISNA(INDEX(RobotDesignResults[Robot Design Rank],MATCH(RobotDesignDelib[[#This Row],[Team Number]],RobotDesignResults[Team '#],0))),NumberOfTeams+1,INDEX(RobotDesignResults[Robot Design Rank],MATCH(RobotDesignDelib[[#This Row],[Team Number]],RobotDesignResults[Team '#],0)))</calculatedColumnFormula>
    </tableColumn>
    <tableColumn id="4" xr3:uid="{00000000-0010-0000-0A00-000004000000}" name="Deliberated Rank" dataDxfId="24"/>
  </tableColumns>
  <tableStyleInfo name="TableStyleMedium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InnovationProjectDelib" displayName="InnovationProjectDelib" ref="L21:O36" totalsRowShown="0" headerRowDxfId="23" dataDxfId="22">
  <autoFilter ref="L21:O36" xr:uid="{00000000-0009-0000-0100-00000C000000}"/>
  <tableColumns count="4">
    <tableColumn id="1" xr3:uid="{00000000-0010-0000-0B00-000001000000}" name="Team Number" dataDxfId="21"/>
    <tableColumn id="2" xr3:uid="{00000000-0010-0000-0B00-000002000000}" name="Team Name" dataDxfId="20">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xr3:uid="{00000000-0010-0000-0B00-000003000000}" name="Innovation Project Rank" dataDxfId="19">
      <calculatedColumnFormula>IF(ISNA(INDEX(InnovationProjectResults[Innovation Project Rank],MATCH(InnovationProjectDelib[[#This Row],[Team Number]],InnovationProjectResults[Team '#],0))),NumberOfTeams+1,INDEX(InnovationProjectResults[Innovation Project Rank],MATCH(InnovationProjectDelib[[#This Row],[Team Number]],InnovationProjectResults[Team '#],0)))</calculatedColumnFormula>
    </tableColumn>
    <tableColumn id="4" xr3:uid="{00000000-0010-0000-0B00-000004000000}" name="Deliberated Rank" dataDxfId="18"/>
  </tableColumns>
  <tableStyleInfo name="TableStyleMedium4"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BreakthroughDelib" displayName="BreakthroughDelib" ref="B39:E54" totalsRowShown="0" headerRowDxfId="17" dataDxfId="16">
  <autoFilter ref="B39:E54" xr:uid="{00000000-0009-0000-0100-00000D000000}"/>
  <tableColumns count="4">
    <tableColumn id="1" xr3:uid="{00000000-0010-0000-0C00-000001000000}" name="Team Number" dataDxfId="15"/>
    <tableColumn id="2" xr3:uid="{00000000-0010-0000-0C00-000002000000}" name="Team Name" dataDxfId="14">
      <calculatedColumnFormula>IF(ISNA(INDEX(OfficialTeamList[Team Name],MATCH(BreakthroughDelib[[#This Row],[Team Number]], OfficialTeamList[Team '#],0))),"",INDEX(OfficialTeamList[Team Name],MATCH(BreakthroughDelib[[#This Row],[Team Number]], OfficialTeamList[Team '#],0)))</calculatedColumnFormula>
    </tableColumn>
    <tableColumn id="3" xr3:uid="{00000000-0010-0000-0C00-000003000000}" name="Champion's Rank" dataDxfId="13">
      <calculatedColumnFormula>IF(ISNA(INDEX(TournamentData[Champion''s Rank],MATCH(BreakthroughDelib[[#This Row],[Team Number]],TournamentData[Team '#],0))),NumberOfTeams+1,INDEX(TournamentData[Champion''s Rank],MATCH(BreakthroughDelib[[#This Row],[Team Number]],TournamentData[Team '#],0)))</calculatedColumnFormula>
    </tableColumn>
    <tableColumn id="4" xr3:uid="{00000000-0010-0000-0C00-000004000000}" name="Deliberated Rank" dataDxfId="12"/>
  </tableColumns>
  <tableStyleInfo name="TableStyleMedium4"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RookiAllStarDelib" displayName="RookiAllStarDelib" ref="G39:J54" totalsRowShown="0" headerRowDxfId="11" dataDxfId="10">
  <autoFilter ref="G39:J54" xr:uid="{00000000-0009-0000-0100-00000E000000}"/>
  <tableColumns count="4">
    <tableColumn id="1" xr3:uid="{00000000-0010-0000-0D00-000001000000}" name="Team Number" dataDxfId="9"/>
    <tableColumn id="2" xr3:uid="{00000000-0010-0000-0D00-000002000000}" name="Team Name" dataDxfId="8">
      <calculatedColumnFormula>IF(ISNA(INDEX(OfficialTeamList[Team Name],MATCH(RookiAllStarDelib[[#This Row],[Team Number]], OfficialTeamList[Team '#],0))),"",INDEX(OfficialTeamList[Team Name],MATCH(RookiAllStarDelib[[#This Row],[Team Number]], OfficialTeamList[Team '#],0)))</calculatedColumnFormula>
    </tableColumn>
    <tableColumn id="3" xr3:uid="{00000000-0010-0000-0D00-000003000000}" name="Champion's Rank" dataDxfId="7">
      <calculatedColumnFormula>IF(ISNA(INDEX(TournamentData[Champion''s Rank],MATCH(RookiAllStarDelib[[#This Row],[Team Number]],TournamentData[Team '#],0))),NumberOfTeams+1,INDEX(TournamentData[Champion''s Rank],MATCH(RookiAllStarDelib[[#This Row],[Team Number]],TournamentData[Team '#],0)))</calculatedColumnFormula>
    </tableColumn>
    <tableColumn id="4" xr3:uid="{00000000-0010-0000-0D00-000004000000}" name="Deliberated Rank" dataDxfId="6"/>
  </tableColumns>
  <tableStyleInfo name="TableStyleMedium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MotivateDelib" displayName="MotivateDelib" ref="L39:O54" totalsRowShown="0" headerRowDxfId="5" dataDxfId="4">
  <autoFilter ref="L39:O54" xr:uid="{00000000-0009-0000-0100-00000F000000}"/>
  <tableColumns count="4">
    <tableColumn id="1" xr3:uid="{00000000-0010-0000-0E00-000001000000}" name="Team Number" dataDxfId="3"/>
    <tableColumn id="2" xr3:uid="{00000000-0010-0000-0E00-000002000000}" name="Team Name" dataDxfId="2">
      <calculatedColumnFormula>IF(ISNA(INDEX(OfficialTeamList[Team Name],MATCH(MotivateDelib[[#This Row],[Team Number]], OfficialTeamList[Team '#],0))),"",INDEX(OfficialTeamList[Team Name],MATCH(MotivateDelib[[#This Row],[Team Number]], OfficialTeamList[Team '#],0)))</calculatedColumnFormula>
    </tableColumn>
    <tableColumn id="3" xr3:uid="{00000000-0010-0000-0E00-000003000000}" name="Champion's Rank" dataDxfId="1">
      <calculatedColumnFormula>IF(ISNA(INDEX(TournamentData[Champion''s Rank],MATCH(MotivateDelib[[#This Row],[Team Number]],TournamentData[Team '#],0))),NumberOfTeams+1,INDEX(TournamentData[Champion''s Rank],MATCH(MotivateDelib[[#This Row],[Team Number]],TournamentData[Team '#],0)))</calculatedColumnFormula>
    </tableColumn>
    <tableColumn id="4" xr3:uid="{00000000-0010-0000-0E00-000004000000}" name="Deliberated Rank"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19.xml"/><Relationship Id="rId3" Type="http://schemas.openxmlformats.org/officeDocument/2006/relationships/table" Target="../tables/table14.xml"/><Relationship Id="rId7" Type="http://schemas.openxmlformats.org/officeDocument/2006/relationships/table" Target="../tables/table18.xml"/><Relationship Id="rId2" Type="http://schemas.openxmlformats.org/officeDocument/2006/relationships/table" Target="../tables/table13.xml"/><Relationship Id="rId1" Type="http://schemas.openxmlformats.org/officeDocument/2006/relationships/table" Target="../tables/table12.xml"/><Relationship Id="rId6" Type="http://schemas.openxmlformats.org/officeDocument/2006/relationships/table" Target="../tables/table17.xml"/><Relationship Id="rId5" Type="http://schemas.openxmlformats.org/officeDocument/2006/relationships/table" Target="../tables/table16.xml"/><Relationship Id="rId4"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pageSetUpPr fitToPage="1"/>
  </sheetPr>
  <dimension ref="B1:C23"/>
  <sheetViews>
    <sheetView zoomScale="70" zoomScaleNormal="70" workbookViewId="0">
      <selection activeCell="C1" sqref="C1"/>
    </sheetView>
  </sheetViews>
  <sheetFormatPr defaultColWidth="9.140625" defaultRowHeight="39.950000000000003" customHeight="1" x14ac:dyDescent="0.25"/>
  <cols>
    <col min="1" max="2" width="9.140625" style="33" customWidth="1"/>
    <col min="3" max="3" width="210.28515625" style="33" customWidth="1"/>
    <col min="4" max="16384" width="9.140625" style="33"/>
  </cols>
  <sheetData>
    <row r="1" spans="2:3" ht="115.5" customHeight="1" x14ac:dyDescent="0.25">
      <c r="C1" s="83" t="s">
        <v>103</v>
      </c>
    </row>
    <row r="2" spans="2:3" ht="102.75" customHeight="1" x14ac:dyDescent="0.25">
      <c r="C2" s="82" t="s">
        <v>0</v>
      </c>
    </row>
    <row r="3" spans="2:3" ht="39.75" customHeight="1" x14ac:dyDescent="0.25">
      <c r="C3" s="92" t="s">
        <v>115</v>
      </c>
    </row>
    <row r="4" spans="2:3" ht="110.25" customHeight="1" x14ac:dyDescent="0.25">
      <c r="B4" s="90" t="s">
        <v>1</v>
      </c>
      <c r="C4" s="84" t="s">
        <v>105</v>
      </c>
    </row>
    <row r="5" spans="2:3" ht="36" customHeight="1" x14ac:dyDescent="0.25">
      <c r="B5" s="89"/>
      <c r="C5" s="36"/>
    </row>
    <row r="6" spans="2:3" ht="121.5" customHeight="1" x14ac:dyDescent="0.25">
      <c r="B6" s="90" t="s">
        <v>2</v>
      </c>
      <c r="C6" s="84" t="s">
        <v>104</v>
      </c>
    </row>
    <row r="7" spans="2:3" ht="31.5" customHeight="1" x14ac:dyDescent="0.25">
      <c r="B7" s="91"/>
    </row>
    <row r="8" spans="2:3" ht="138" customHeight="1" x14ac:dyDescent="0.25">
      <c r="B8" s="91"/>
      <c r="C8" s="85" t="s">
        <v>106</v>
      </c>
    </row>
    <row r="9" spans="2:3" ht="117" customHeight="1" x14ac:dyDescent="0.25">
      <c r="B9" s="90" t="s">
        <v>3</v>
      </c>
      <c r="C9" s="84" t="s">
        <v>107</v>
      </c>
    </row>
    <row r="10" spans="2:3" ht="52.9" customHeight="1" x14ac:dyDescent="0.25">
      <c r="B10" s="91"/>
      <c r="C10" s="85" t="s">
        <v>108</v>
      </c>
    </row>
    <row r="11" spans="2:3" ht="1.9" customHeight="1" x14ac:dyDescent="0.25">
      <c r="B11" s="91"/>
    </row>
    <row r="12" spans="2:3" ht="20.45" customHeight="1" x14ac:dyDescent="0.25">
      <c r="B12" s="91"/>
    </row>
    <row r="13" spans="2:3" ht="73.5" customHeight="1" x14ac:dyDescent="0.25">
      <c r="B13" s="90" t="s">
        <v>4</v>
      </c>
      <c r="C13" s="84" t="s">
        <v>109</v>
      </c>
    </row>
    <row r="14" spans="2:3" ht="95.25" customHeight="1" x14ac:dyDescent="0.25">
      <c r="B14" s="90" t="s">
        <v>5</v>
      </c>
      <c r="C14" s="89" t="s">
        <v>6</v>
      </c>
    </row>
    <row r="15" spans="2:3" ht="105" customHeight="1" x14ac:dyDescent="0.25">
      <c r="B15" s="90" t="s">
        <v>112</v>
      </c>
      <c r="C15" s="89" t="s">
        <v>113</v>
      </c>
    </row>
    <row r="16" spans="2:3" ht="30" customHeight="1" x14ac:dyDescent="0.25">
      <c r="B16" s="37"/>
      <c r="C16" s="34"/>
    </row>
    <row r="17" spans="2:3" ht="39.950000000000003" customHeight="1" thickBot="1" x14ac:dyDescent="0.3">
      <c r="C17" s="35" t="s">
        <v>7</v>
      </c>
    </row>
    <row r="18" spans="2:3" ht="63.75" customHeight="1" thickBot="1" x14ac:dyDescent="0.3">
      <c r="B18" s="34"/>
      <c r="C18" s="86" t="s">
        <v>110</v>
      </c>
    </row>
    <row r="19" spans="2:3" ht="39.950000000000003" customHeight="1" thickBot="1" x14ac:dyDescent="0.3">
      <c r="C19" s="88" t="s">
        <v>8</v>
      </c>
    </row>
    <row r="20" spans="2:3" ht="63" customHeight="1" thickBot="1" x14ac:dyDescent="0.3">
      <c r="C20" s="88" t="s">
        <v>9</v>
      </c>
    </row>
    <row r="21" spans="2:3" ht="60" customHeight="1" thickBot="1" x14ac:dyDescent="0.3">
      <c r="C21" s="87" t="s">
        <v>10</v>
      </c>
    </row>
    <row r="22" spans="2:3" ht="39.950000000000003" customHeight="1" thickBot="1" x14ac:dyDescent="0.3">
      <c r="C22" s="87" t="s">
        <v>114</v>
      </c>
    </row>
    <row r="23" spans="2:3" ht="39.950000000000003" customHeight="1" thickBot="1" x14ac:dyDescent="0.3">
      <c r="C23" s="88" t="s">
        <v>111</v>
      </c>
    </row>
  </sheetData>
  <sheetProtection sort="0" autoFilter="0"/>
  <pageMargins left="0.7" right="0.7" top="0.75" bottom="0.75" header="0.3" footer="0.3"/>
  <pageSetup scale="39" fitToHeight="0"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I3"/>
  <sheetViews>
    <sheetView zoomScaleNormal="100" workbookViewId="0">
      <selection activeCell="A3" sqref="A3"/>
    </sheetView>
  </sheetViews>
  <sheetFormatPr defaultColWidth="9.140625" defaultRowHeight="39.950000000000003" customHeight="1" x14ac:dyDescent="0.25"/>
  <cols>
    <col min="1" max="1" width="23.85546875" style="5" bestFit="1" customWidth="1"/>
    <col min="2" max="2" width="69" style="5" customWidth="1"/>
    <col min="3" max="3" width="21.85546875" style="5" customWidth="1"/>
    <col min="4" max="4" width="21.5703125" style="5" bestFit="1" customWidth="1"/>
    <col min="5" max="5" width="15.28515625" style="5" customWidth="1"/>
    <col min="6" max="8" width="9.140625" style="5" customWidth="1"/>
    <col min="9" max="16384" width="9.140625" style="5"/>
  </cols>
  <sheetData>
    <row r="1" spans="1:9" s="1" customFormat="1" ht="61.5" customHeight="1" thickBot="1" x14ac:dyDescent="0.3">
      <c r="A1" s="103" t="s">
        <v>11</v>
      </c>
      <c r="B1" s="103"/>
      <c r="C1" s="103"/>
      <c r="D1" s="103"/>
      <c r="E1" s="7" t="s">
        <v>101</v>
      </c>
      <c r="F1" s="80">
        <f>COUNT(OfficialTeamList[Team '#])</f>
        <v>0</v>
      </c>
      <c r="G1" s="80" t="s">
        <v>102</v>
      </c>
      <c r="H1" s="81">
        <f>MAX(OfficialTeamList[Pod Number])</f>
        <v>0</v>
      </c>
      <c r="I1" s="79"/>
    </row>
    <row r="2" spans="1:9" s="2" customFormat="1" ht="21" customHeight="1" thickBot="1" x14ac:dyDescent="0.3">
      <c r="A2" s="7" t="s">
        <v>125</v>
      </c>
      <c r="B2" s="7" t="s">
        <v>13</v>
      </c>
      <c r="C2" s="6" t="s">
        <v>126</v>
      </c>
      <c r="D2" s="6" t="s">
        <v>14</v>
      </c>
      <c r="E2" s="99" t="s">
        <v>121</v>
      </c>
      <c r="F2" s="100" t="b">
        <v>0</v>
      </c>
      <c r="G2" s="3" t="s">
        <v>122</v>
      </c>
    </row>
    <row r="3" spans="1:9" s="2" customFormat="1" ht="21" customHeight="1" x14ac:dyDescent="0.25">
      <c r="A3" s="68"/>
      <c r="B3" s="68"/>
      <c r="C3" s="68"/>
      <c r="D3" s="69"/>
      <c r="H3" s="3"/>
    </row>
  </sheetData>
  <sheetProtection selectLockedCells="1" sort="0" autoFilter="0"/>
  <mergeCells count="1">
    <mergeCell ref="A1:D1"/>
  </mergeCells>
  <dataValidations count="1">
    <dataValidation type="list" allowBlank="1" showInputMessage="1" showErrorMessage="1" sqref="F2" xr:uid="{566CBE83-13FD-47FE-B50D-3EF16DE304D0}">
      <formula1>"TRUE,FALSE"</formula1>
    </dataValidation>
  </dataValidations>
  <pageMargins left="0.7" right="0.7" top="0.75" bottom="0.75" header="0.3" footer="0.3"/>
  <pageSetup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CAE36-EA5F-4305-9DDD-FFAC4BA0335B}">
  <sheetPr codeName="Sheet12"/>
  <dimension ref="A1:A4"/>
  <sheetViews>
    <sheetView workbookViewId="0">
      <selection activeCell="E3" sqref="E3"/>
    </sheetView>
  </sheetViews>
  <sheetFormatPr defaultRowHeight="15" x14ac:dyDescent="0.25"/>
  <cols>
    <col min="1" max="1" width="10.7109375" customWidth="1"/>
  </cols>
  <sheetData>
    <row r="1" spans="1:1" x14ac:dyDescent="0.25">
      <c r="A1" t="s">
        <v>92</v>
      </c>
    </row>
    <row r="2" spans="1:1" x14ac:dyDescent="0.25">
      <c r="A2" t="s">
        <v>93</v>
      </c>
    </row>
    <row r="3" spans="1:1" x14ac:dyDescent="0.25">
      <c r="A3" t="s">
        <v>94</v>
      </c>
    </row>
    <row r="4" spans="1:1" x14ac:dyDescent="0.25">
      <c r="A4" t="s">
        <v>95</v>
      </c>
    </row>
  </sheetData>
  <sheetProtection selectLockedCells="1" sort="0" autoFilter="0"/>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B1"/>
  <sheetViews>
    <sheetView workbookViewId="0">
      <selection activeCell="A2" sqref="A2"/>
    </sheetView>
  </sheetViews>
  <sheetFormatPr defaultRowHeight="15" x14ac:dyDescent="0.25"/>
  <cols>
    <col min="1" max="1" width="29.42578125" customWidth="1"/>
    <col min="2" max="2" width="75.85546875" customWidth="1"/>
  </cols>
  <sheetData>
    <row r="1" spans="1:2" x14ac:dyDescent="0.25">
      <c r="A1" t="s">
        <v>15</v>
      </c>
      <c r="B1" t="s">
        <v>16</v>
      </c>
    </row>
  </sheetData>
  <sheetProtection selectLockedCells="1" sort="0"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6693C-40EC-4C71-91C5-B6DE19299FDB}">
  <sheetPr codeName="Sheet11"/>
  <dimension ref="A1:D2"/>
  <sheetViews>
    <sheetView workbookViewId="0"/>
  </sheetViews>
  <sheetFormatPr defaultRowHeight="15" x14ac:dyDescent="0.25"/>
  <cols>
    <col min="1" max="2" width="34.5703125" customWidth="1"/>
    <col min="4" max="4" width="30.28515625" customWidth="1"/>
  </cols>
  <sheetData>
    <row r="1" spans="1:4" x14ac:dyDescent="0.25">
      <c r="A1">
        <f>COUNTA(AwardListDropdowns[Award])</f>
        <v>0</v>
      </c>
    </row>
    <row r="2" spans="1:4" x14ac:dyDescent="0.25">
      <c r="A2" t="s">
        <v>35</v>
      </c>
      <c r="B2" t="s">
        <v>127</v>
      </c>
      <c r="D2" t="s">
        <v>91</v>
      </c>
    </row>
  </sheetData>
  <sheetProtection selectLockedCells="1" sort="0" autoFilter="0"/>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EB3D9-C0BF-4C5F-998C-D89D8C3DF522}">
  <sheetPr codeName="Sheet14"/>
  <dimension ref="A1:J1"/>
  <sheetViews>
    <sheetView workbookViewId="0">
      <selection activeCell="A2" sqref="A2"/>
    </sheetView>
  </sheetViews>
  <sheetFormatPr defaultRowHeight="15" x14ac:dyDescent="0.25"/>
  <cols>
    <col min="1" max="1" width="17.5703125" bestFit="1" customWidth="1"/>
    <col min="2" max="2" width="8" bestFit="1" customWidth="1"/>
    <col min="3" max="3" width="13.7109375" bestFit="1" customWidth="1"/>
    <col min="4" max="4" width="10.85546875" bestFit="1" customWidth="1"/>
    <col min="5" max="7" width="9" bestFit="1" customWidth="1"/>
    <col min="8" max="9" width="13.5703125" bestFit="1" customWidth="1"/>
    <col min="10" max="10" width="16.85546875" bestFit="1" customWidth="1"/>
  </cols>
  <sheetData>
    <row r="1" spans="1:10" x14ac:dyDescent="0.25">
      <c r="A1" t="s">
        <v>123</v>
      </c>
      <c r="B1" t="s">
        <v>117</v>
      </c>
      <c r="C1" t="s">
        <v>124</v>
      </c>
      <c r="D1" t="s">
        <v>131</v>
      </c>
      <c r="E1" t="s">
        <v>118</v>
      </c>
      <c r="F1" t="s">
        <v>119</v>
      </c>
      <c r="G1" t="s">
        <v>120</v>
      </c>
      <c r="H1" t="s">
        <v>128</v>
      </c>
      <c r="I1" t="s">
        <v>129</v>
      </c>
      <c r="J1" t="s">
        <v>130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31627-9091-4683-8720-B6F5ABA513B9}">
  <sheetPr codeName="Sheet13">
    <tabColor rgb="FF7030A0"/>
  </sheetPr>
  <dimension ref="B1:F40"/>
  <sheetViews>
    <sheetView workbookViewId="0">
      <selection activeCell="C1" sqref="C1"/>
    </sheetView>
  </sheetViews>
  <sheetFormatPr defaultRowHeight="15" x14ac:dyDescent="0.25"/>
  <cols>
    <col min="3" max="3" width="10" bestFit="1" customWidth="1"/>
  </cols>
  <sheetData>
    <row r="1" spans="2:6" x14ac:dyDescent="0.25">
      <c r="B1" t="s">
        <v>96</v>
      </c>
      <c r="C1" s="59" t="s">
        <v>97</v>
      </c>
      <c r="D1" t="s">
        <v>98</v>
      </c>
      <c r="E1" t="s">
        <v>99</v>
      </c>
      <c r="F1" t="s">
        <v>100</v>
      </c>
    </row>
    <row r="2" spans="2:6" x14ac:dyDescent="0.25">
      <c r="B2">
        <v>1</v>
      </c>
      <c r="C2" t="str">
        <f>IF(ISERR(AVERAGEIF(TournamentData[POD],'Pod Analysis'!B2,TournamentData[Champion''s Score])),"",AVERAGEIF(TournamentData[POD],'Pod Analysis'!B2,TournamentData[Champion''s Score]))</f>
        <v/>
      </c>
      <c r="D2" t="str">
        <f>IF(ISERR(AVERAGEIF(InnovationProjectResults[POD],'Pod Analysis'!B2,InnovationProjectResults[Innovation Project Score])),"",AVERAGEIF(InnovationProjectResults[POD],'Pod Analysis'!B2,InnovationProjectResults[Innovation Project Score]))</f>
        <v/>
      </c>
      <c r="E2" t="str">
        <f>IF(ISERR(AVERAGEIF(RobotDesignResults[POD],'Pod Analysis'!B2,RobotDesignResults[Robot Design Score])),"",AVERAGEIF(RobotDesignResults[POD],'Pod Analysis'!B2,RobotDesignResults[Robot Design Score]))</f>
        <v/>
      </c>
      <c r="F2" t="str">
        <f>IF(ISERR(AVERAGEIF(CoreValuesResults[POD],'Pod Analysis'!B2,CoreValuesResults[Core Values Score])),"",AVERAGEIF(CoreValuesResults[POD],'Pod Analysis'!B2,CoreValuesResults[Core Values Score]))</f>
        <v/>
      </c>
    </row>
    <row r="3" spans="2:6" x14ac:dyDescent="0.25">
      <c r="B3">
        <v>2</v>
      </c>
      <c r="C3" t="str">
        <f>IF(ISERR(AVERAGEIF(TournamentData[POD],'Pod Analysis'!B3,TournamentData[Champion''s Score])),"",AVERAGEIF(TournamentData[POD],'Pod Analysis'!B3,TournamentData[Champion''s Score]))</f>
        <v/>
      </c>
      <c r="D3" t="str">
        <f>IF(ISERR(AVERAGEIF(InnovationProjectResults[POD],'Pod Analysis'!B3,InnovationProjectResults[Innovation Project Score])),"",AVERAGEIF(InnovationProjectResults[POD],'Pod Analysis'!B3,InnovationProjectResults[Innovation Project Score]))</f>
        <v/>
      </c>
      <c r="E3" t="str">
        <f>IF(ISERR(AVERAGEIF(RobotDesignResults[POD],'Pod Analysis'!B3,RobotDesignResults[Robot Design Score])),"",AVERAGEIF(RobotDesignResults[POD],'Pod Analysis'!B3,RobotDesignResults[Robot Design Score]))</f>
        <v/>
      </c>
      <c r="F3" t="str">
        <f>IF(ISERR(AVERAGEIF(CoreValuesResults[POD],'Pod Analysis'!B3,CoreValuesResults[Core Values Score])),"",AVERAGEIF(CoreValuesResults[POD],'Pod Analysis'!B3,CoreValuesResults[Core Values Score]))</f>
        <v/>
      </c>
    </row>
    <row r="4" spans="2:6" x14ac:dyDescent="0.25">
      <c r="B4">
        <v>3</v>
      </c>
      <c r="C4" t="str">
        <f>IF(ISERR(AVERAGEIF(TournamentData[POD],'Pod Analysis'!B4,TournamentData[Champion''s Score])),"",AVERAGEIF(TournamentData[POD],'Pod Analysis'!B4,TournamentData[Champion''s Score]))</f>
        <v/>
      </c>
      <c r="D4" t="str">
        <f>IF(ISERR(AVERAGEIF(InnovationProjectResults[POD],'Pod Analysis'!B4,InnovationProjectResults[Innovation Project Score])),"",AVERAGEIF(InnovationProjectResults[POD],'Pod Analysis'!B4,InnovationProjectResults[Innovation Project Score]))</f>
        <v/>
      </c>
      <c r="E4" t="str">
        <f>IF(ISERR(AVERAGEIF(RobotDesignResults[POD],'Pod Analysis'!B4,RobotDesignResults[Robot Design Score])),"",AVERAGEIF(RobotDesignResults[POD],'Pod Analysis'!B4,RobotDesignResults[Robot Design Score]))</f>
        <v/>
      </c>
      <c r="F4" t="str">
        <f>IF(ISERR(AVERAGEIF(CoreValuesResults[POD],'Pod Analysis'!B4,CoreValuesResults[Core Values Score])),"",AVERAGEIF(CoreValuesResults[POD],'Pod Analysis'!B4,CoreValuesResults[Core Values Score]))</f>
        <v/>
      </c>
    </row>
    <row r="5" spans="2:6" x14ac:dyDescent="0.25">
      <c r="B5">
        <v>4</v>
      </c>
      <c r="C5" t="str">
        <f>IF(ISERR(AVERAGEIF(TournamentData[POD],'Pod Analysis'!B5,TournamentData[Champion''s Score])),"",AVERAGEIF(TournamentData[POD],'Pod Analysis'!B5,TournamentData[Champion''s Score]))</f>
        <v/>
      </c>
      <c r="D5" t="str">
        <f>IF(ISERR(AVERAGEIF(InnovationProjectResults[POD],'Pod Analysis'!B5,InnovationProjectResults[Innovation Project Score])),"",AVERAGEIF(InnovationProjectResults[POD],'Pod Analysis'!B5,InnovationProjectResults[Innovation Project Score]))</f>
        <v/>
      </c>
      <c r="E5" t="str">
        <f>IF(ISERR(AVERAGEIF(RobotDesignResults[POD],'Pod Analysis'!B5,RobotDesignResults[Robot Design Score])),"",AVERAGEIF(RobotDesignResults[POD],'Pod Analysis'!B5,RobotDesignResults[Robot Design Score]))</f>
        <v/>
      </c>
      <c r="F5" t="str">
        <f>IF(ISERR(AVERAGEIF(CoreValuesResults[POD],'Pod Analysis'!B5,CoreValuesResults[Core Values Score])),"",AVERAGEIF(CoreValuesResults[POD],'Pod Analysis'!B5,CoreValuesResults[Core Values Score]))</f>
        <v/>
      </c>
    </row>
    <row r="6" spans="2:6" x14ac:dyDescent="0.25">
      <c r="B6">
        <v>5</v>
      </c>
      <c r="C6" t="str">
        <f>IF(ISERR(AVERAGEIF(TournamentData[POD],'Pod Analysis'!B6,TournamentData[Champion''s Score])),"",AVERAGEIF(TournamentData[POD],'Pod Analysis'!B6,TournamentData[Champion''s Score]))</f>
        <v/>
      </c>
      <c r="D6" t="str">
        <f>IF(ISERR(AVERAGEIF(InnovationProjectResults[POD],'Pod Analysis'!B6,InnovationProjectResults[Innovation Project Score])),"",AVERAGEIF(InnovationProjectResults[POD],'Pod Analysis'!B6,InnovationProjectResults[Innovation Project Score]))</f>
        <v/>
      </c>
      <c r="E6" t="str">
        <f>IF(ISERR(AVERAGEIF(RobotDesignResults[POD],'Pod Analysis'!B6,RobotDesignResults[Robot Design Score])),"",AVERAGEIF(RobotDesignResults[POD],'Pod Analysis'!B6,RobotDesignResults[Robot Design Score]))</f>
        <v/>
      </c>
      <c r="F6" t="str">
        <f>IF(ISERR(AVERAGEIF(CoreValuesResults[POD],'Pod Analysis'!B6,CoreValuesResults[Core Values Score])),"",AVERAGEIF(CoreValuesResults[POD],'Pod Analysis'!B6,CoreValuesResults[Core Values Score]))</f>
        <v/>
      </c>
    </row>
    <row r="7" spans="2:6" x14ac:dyDescent="0.25">
      <c r="B7">
        <v>6</v>
      </c>
      <c r="C7" t="str">
        <f>IF(ISERR(AVERAGEIF(TournamentData[POD],'Pod Analysis'!B7,TournamentData[Champion''s Score])),"",AVERAGEIF(TournamentData[POD],'Pod Analysis'!B7,TournamentData[Champion''s Score]))</f>
        <v/>
      </c>
      <c r="D7" t="str">
        <f>IF(ISERR(AVERAGEIF(InnovationProjectResults[POD],'Pod Analysis'!B7,InnovationProjectResults[Innovation Project Score])),"",AVERAGEIF(InnovationProjectResults[POD],'Pod Analysis'!B7,InnovationProjectResults[Innovation Project Score]))</f>
        <v/>
      </c>
      <c r="E7" t="str">
        <f>IF(ISERR(AVERAGEIF(RobotDesignResults[POD],'Pod Analysis'!B7,RobotDesignResults[Robot Design Score])),"",AVERAGEIF(RobotDesignResults[POD],'Pod Analysis'!B7,RobotDesignResults[Robot Design Score]))</f>
        <v/>
      </c>
      <c r="F7" t="str">
        <f>IF(ISERR(AVERAGEIF(CoreValuesResults[POD],'Pod Analysis'!B7,CoreValuesResults[Core Values Score])),"",AVERAGEIF(CoreValuesResults[POD],'Pod Analysis'!B7,CoreValuesResults[Core Values Score]))</f>
        <v/>
      </c>
    </row>
    <row r="8" spans="2:6" x14ac:dyDescent="0.25">
      <c r="B8">
        <v>7</v>
      </c>
      <c r="C8" t="str">
        <f>IF(ISERR(AVERAGEIF(TournamentData[POD],'Pod Analysis'!B8,TournamentData[Champion''s Score])),"",AVERAGEIF(TournamentData[POD],'Pod Analysis'!B8,TournamentData[Champion''s Score]))</f>
        <v/>
      </c>
      <c r="D8" t="str">
        <f>IF(ISERR(AVERAGEIF(InnovationProjectResults[POD],'Pod Analysis'!B8,InnovationProjectResults[Innovation Project Score])),"",AVERAGEIF(InnovationProjectResults[POD],'Pod Analysis'!B8,InnovationProjectResults[Innovation Project Score]))</f>
        <v/>
      </c>
      <c r="E8" t="str">
        <f>IF(ISERR(AVERAGEIF(RobotDesignResults[POD],'Pod Analysis'!B8,RobotDesignResults[Robot Design Score])),"",AVERAGEIF(RobotDesignResults[POD],'Pod Analysis'!B8,RobotDesignResults[Robot Design Score]))</f>
        <v/>
      </c>
      <c r="F8" t="str">
        <f>IF(ISERR(AVERAGEIF(CoreValuesResults[POD],'Pod Analysis'!B8,CoreValuesResults[Core Values Score])),"",AVERAGEIF(CoreValuesResults[POD],'Pod Analysis'!B8,CoreValuesResults[Core Values Score]))</f>
        <v/>
      </c>
    </row>
    <row r="9" spans="2:6" x14ac:dyDescent="0.25">
      <c r="B9">
        <v>8</v>
      </c>
      <c r="C9" t="str">
        <f>IF(ISERR(AVERAGEIF(TournamentData[POD],'Pod Analysis'!B9,TournamentData[Champion''s Score])),"",AVERAGEIF(TournamentData[POD],'Pod Analysis'!B9,TournamentData[Champion''s Score]))</f>
        <v/>
      </c>
      <c r="D9" t="str">
        <f>IF(ISERR(AVERAGEIF(InnovationProjectResults[POD],'Pod Analysis'!B9,InnovationProjectResults[Innovation Project Score])),"",AVERAGEIF(InnovationProjectResults[POD],'Pod Analysis'!B9,InnovationProjectResults[Innovation Project Score]))</f>
        <v/>
      </c>
      <c r="E9" t="str">
        <f>IF(ISERR(AVERAGEIF(RobotDesignResults[POD],'Pod Analysis'!B9,RobotDesignResults[Robot Design Score])),"",AVERAGEIF(RobotDesignResults[POD],'Pod Analysis'!B9,RobotDesignResults[Robot Design Score]))</f>
        <v/>
      </c>
      <c r="F9" t="str">
        <f>IF(ISERR(AVERAGEIF(CoreValuesResults[POD],'Pod Analysis'!B9,CoreValuesResults[Core Values Score])),"",AVERAGEIF(CoreValuesResults[POD],'Pod Analysis'!B9,CoreValuesResults[Core Values Score]))</f>
        <v/>
      </c>
    </row>
    <row r="10" spans="2:6" x14ac:dyDescent="0.25">
      <c r="B10">
        <v>9</v>
      </c>
      <c r="C10" t="str">
        <f>IF(ISERR(AVERAGEIF(TournamentData[POD],'Pod Analysis'!B10,TournamentData[Champion''s Score])),"",AVERAGEIF(TournamentData[POD],'Pod Analysis'!B10,TournamentData[Champion''s Score]))</f>
        <v/>
      </c>
      <c r="D10" t="str">
        <f>IF(ISERR(AVERAGEIF(InnovationProjectResults[POD],'Pod Analysis'!B10,InnovationProjectResults[Innovation Project Score])),"",AVERAGEIF(InnovationProjectResults[POD],'Pod Analysis'!B10,InnovationProjectResults[Innovation Project Score]))</f>
        <v/>
      </c>
      <c r="E10" t="str">
        <f>IF(ISERR(AVERAGEIF(RobotDesignResults[POD],'Pod Analysis'!B10,RobotDesignResults[Robot Design Score])),"",AVERAGEIF(RobotDesignResults[POD],'Pod Analysis'!B10,RobotDesignResults[Robot Design Score]))</f>
        <v/>
      </c>
      <c r="F10" t="str">
        <f>IF(ISERR(AVERAGEIF(CoreValuesResults[POD],'Pod Analysis'!B10,CoreValuesResults[Core Values Score])),"",AVERAGEIF(CoreValuesResults[POD],'Pod Analysis'!B10,CoreValuesResults[Core Values Score]))</f>
        <v/>
      </c>
    </row>
    <row r="11" spans="2:6" x14ac:dyDescent="0.25">
      <c r="B11">
        <v>10</v>
      </c>
      <c r="C11" t="str">
        <f>IF(ISERR(AVERAGEIF(TournamentData[POD],'Pod Analysis'!B11,TournamentData[Champion''s Score])),"",AVERAGEIF(TournamentData[POD],'Pod Analysis'!B11,TournamentData[Champion''s Score]))</f>
        <v/>
      </c>
      <c r="D11" t="str">
        <f>IF(ISERR(AVERAGEIF(InnovationProjectResults[POD],'Pod Analysis'!B11,InnovationProjectResults[Innovation Project Score])),"",AVERAGEIF(InnovationProjectResults[POD],'Pod Analysis'!B11,InnovationProjectResults[Innovation Project Score]))</f>
        <v/>
      </c>
      <c r="E11" t="str">
        <f>IF(ISERR(AVERAGEIF(RobotDesignResults[POD],'Pod Analysis'!B11,RobotDesignResults[Robot Design Score])),"",AVERAGEIF(RobotDesignResults[POD],'Pod Analysis'!B11,RobotDesignResults[Robot Design Score]))</f>
        <v/>
      </c>
      <c r="F11" t="str">
        <f>IF(ISERR(AVERAGEIF(CoreValuesResults[POD],'Pod Analysis'!B11,CoreValuesResults[Core Values Score])),"",AVERAGEIF(CoreValuesResults[POD],'Pod Analysis'!B11,CoreValuesResults[Core Values Score]))</f>
        <v/>
      </c>
    </row>
    <row r="12" spans="2:6" x14ac:dyDescent="0.25">
      <c r="B12">
        <v>11</v>
      </c>
      <c r="C12" t="str">
        <f>IF(ISERR(AVERAGEIF(TournamentData[POD],'Pod Analysis'!B12,TournamentData[Champion''s Score])),"",AVERAGEIF(TournamentData[POD],'Pod Analysis'!B12,TournamentData[Champion''s Score]))</f>
        <v/>
      </c>
      <c r="D12" t="str">
        <f>IF(ISERR(AVERAGEIF(InnovationProjectResults[POD],'Pod Analysis'!B12,InnovationProjectResults[Innovation Project Score])),"",AVERAGEIF(InnovationProjectResults[POD],'Pod Analysis'!B12,InnovationProjectResults[Innovation Project Score]))</f>
        <v/>
      </c>
      <c r="E12" t="str">
        <f>IF(ISERR(AVERAGEIF(RobotDesignResults[POD],'Pod Analysis'!B12,RobotDesignResults[Robot Design Score])),"",AVERAGEIF(RobotDesignResults[POD],'Pod Analysis'!B12,RobotDesignResults[Robot Design Score]))</f>
        <v/>
      </c>
      <c r="F12" t="str">
        <f>IF(ISERR(AVERAGEIF(CoreValuesResults[POD],'Pod Analysis'!B12,CoreValuesResults[Core Values Score])),"",AVERAGEIF(CoreValuesResults[POD],'Pod Analysis'!B12,CoreValuesResults[Core Values Score]))</f>
        <v/>
      </c>
    </row>
    <row r="13" spans="2:6" x14ac:dyDescent="0.25">
      <c r="B13">
        <v>12</v>
      </c>
      <c r="C13" t="str">
        <f>IF(ISERR(AVERAGEIF(TournamentData[POD],'Pod Analysis'!B13,TournamentData[Champion''s Score])),"",AVERAGEIF(TournamentData[POD],'Pod Analysis'!B13,TournamentData[Champion''s Score]))</f>
        <v/>
      </c>
      <c r="D13" t="str">
        <f>IF(ISERR(AVERAGEIF(InnovationProjectResults[POD],'Pod Analysis'!B13,InnovationProjectResults[Innovation Project Score])),"",AVERAGEIF(InnovationProjectResults[POD],'Pod Analysis'!B13,InnovationProjectResults[Innovation Project Score]))</f>
        <v/>
      </c>
      <c r="E13" t="str">
        <f>IF(ISERR(AVERAGEIF(RobotDesignResults[POD],'Pod Analysis'!B13,RobotDesignResults[Robot Design Score])),"",AVERAGEIF(RobotDesignResults[POD],'Pod Analysis'!B13,RobotDesignResults[Robot Design Score]))</f>
        <v/>
      </c>
      <c r="F13" t="str">
        <f>IF(ISERR(AVERAGEIF(CoreValuesResults[POD],'Pod Analysis'!B13,CoreValuesResults[Core Values Score])),"",AVERAGEIF(CoreValuesResults[POD],'Pod Analysis'!B13,CoreValuesResults[Core Values Score]))</f>
        <v/>
      </c>
    </row>
    <row r="14" spans="2:6" x14ac:dyDescent="0.25">
      <c r="B14">
        <v>13</v>
      </c>
      <c r="C14" t="str">
        <f>IF(ISERR(AVERAGEIF(TournamentData[POD],'Pod Analysis'!B14,TournamentData[Champion''s Score])),"",AVERAGEIF(TournamentData[POD],'Pod Analysis'!B14,TournamentData[Champion''s Score]))</f>
        <v/>
      </c>
      <c r="D14" t="str">
        <f>IF(ISERR(AVERAGEIF(InnovationProjectResults[POD],'Pod Analysis'!B14,InnovationProjectResults[Innovation Project Score])),"",AVERAGEIF(InnovationProjectResults[POD],'Pod Analysis'!B14,InnovationProjectResults[Innovation Project Score]))</f>
        <v/>
      </c>
      <c r="E14" t="str">
        <f>IF(ISERR(AVERAGEIF(RobotDesignResults[POD],'Pod Analysis'!B14,RobotDesignResults[Robot Design Score])),"",AVERAGEIF(RobotDesignResults[POD],'Pod Analysis'!B14,RobotDesignResults[Robot Design Score]))</f>
        <v/>
      </c>
      <c r="F14" t="str">
        <f>IF(ISERR(AVERAGEIF(CoreValuesResults[POD],'Pod Analysis'!B14,CoreValuesResults[Core Values Score])),"",AVERAGEIF(CoreValuesResults[POD],'Pod Analysis'!B14,CoreValuesResults[Core Values Score]))</f>
        <v/>
      </c>
    </row>
    <row r="15" spans="2:6" x14ac:dyDescent="0.25">
      <c r="B15">
        <v>14</v>
      </c>
      <c r="C15" t="str">
        <f>IF(ISERR(AVERAGEIF(TournamentData[POD],'Pod Analysis'!B15,TournamentData[Champion''s Score])),"",AVERAGEIF(TournamentData[POD],'Pod Analysis'!B15,TournamentData[Champion''s Score]))</f>
        <v/>
      </c>
      <c r="D15" t="str">
        <f>IF(ISERR(AVERAGEIF(InnovationProjectResults[POD],'Pod Analysis'!B15,InnovationProjectResults[Innovation Project Score])),"",AVERAGEIF(InnovationProjectResults[POD],'Pod Analysis'!B15,InnovationProjectResults[Innovation Project Score]))</f>
        <v/>
      </c>
      <c r="E15" t="str">
        <f>IF(ISERR(AVERAGEIF(RobotDesignResults[POD],'Pod Analysis'!B15,RobotDesignResults[Robot Design Score])),"",AVERAGEIF(RobotDesignResults[POD],'Pod Analysis'!B15,RobotDesignResults[Robot Design Score]))</f>
        <v/>
      </c>
      <c r="F15" t="str">
        <f>IF(ISERR(AVERAGEIF(CoreValuesResults[POD],'Pod Analysis'!B15,CoreValuesResults[Core Values Score])),"",AVERAGEIF(CoreValuesResults[POD],'Pod Analysis'!B15,CoreValuesResults[Core Values Score]))</f>
        <v/>
      </c>
    </row>
    <row r="16" spans="2:6" x14ac:dyDescent="0.25">
      <c r="B16">
        <v>15</v>
      </c>
      <c r="C16" t="str">
        <f>IF(ISERR(AVERAGEIF(TournamentData[POD],'Pod Analysis'!B16,TournamentData[Champion''s Score])),"",AVERAGEIF(TournamentData[POD],'Pod Analysis'!B16,TournamentData[Champion''s Score]))</f>
        <v/>
      </c>
      <c r="D16" t="str">
        <f>IF(ISERR(AVERAGEIF(InnovationProjectResults[POD],'Pod Analysis'!B16,InnovationProjectResults[Innovation Project Score])),"",AVERAGEIF(InnovationProjectResults[POD],'Pod Analysis'!B16,InnovationProjectResults[Innovation Project Score]))</f>
        <v/>
      </c>
      <c r="E16" t="str">
        <f>IF(ISERR(AVERAGEIF(RobotDesignResults[POD],'Pod Analysis'!B16,RobotDesignResults[Robot Design Score])),"",AVERAGEIF(RobotDesignResults[POD],'Pod Analysis'!B16,RobotDesignResults[Robot Design Score]))</f>
        <v/>
      </c>
      <c r="F16" t="str">
        <f>IF(ISERR(AVERAGEIF(CoreValuesResults[POD],'Pod Analysis'!B16,CoreValuesResults[Core Values Score])),"",AVERAGEIF(CoreValuesResults[POD],'Pod Analysis'!B16,CoreValuesResults[Core Values Score]))</f>
        <v/>
      </c>
    </row>
    <row r="17" spans="2:6" x14ac:dyDescent="0.25">
      <c r="B17">
        <v>16</v>
      </c>
      <c r="C17" t="str">
        <f>IF(ISERR(AVERAGEIF(TournamentData[POD],'Pod Analysis'!B17,TournamentData[Champion''s Score])),"",AVERAGEIF(TournamentData[POD],'Pod Analysis'!B17,TournamentData[Champion''s Score]))</f>
        <v/>
      </c>
      <c r="D17" t="str">
        <f>IF(ISERR(AVERAGEIF(InnovationProjectResults[POD],'Pod Analysis'!B17,InnovationProjectResults[Innovation Project Score])),"",AVERAGEIF(InnovationProjectResults[POD],'Pod Analysis'!B17,InnovationProjectResults[Innovation Project Score]))</f>
        <v/>
      </c>
      <c r="E17" t="str">
        <f>IF(ISERR(AVERAGEIF(RobotDesignResults[POD],'Pod Analysis'!B17,RobotDesignResults[Robot Design Score])),"",AVERAGEIF(RobotDesignResults[POD],'Pod Analysis'!B17,RobotDesignResults[Robot Design Score]))</f>
        <v/>
      </c>
      <c r="F17" t="str">
        <f>IF(ISERR(AVERAGEIF(CoreValuesResults[POD],'Pod Analysis'!B17,CoreValuesResults[Core Values Score])),"",AVERAGEIF(CoreValuesResults[POD],'Pod Analysis'!B17,CoreValuesResults[Core Values Score]))</f>
        <v/>
      </c>
    </row>
    <row r="18" spans="2:6" x14ac:dyDescent="0.25">
      <c r="B18">
        <v>17</v>
      </c>
      <c r="C18" t="str">
        <f>IF(ISERR(AVERAGEIF(TournamentData[POD],'Pod Analysis'!B18,TournamentData[Champion''s Score])),"",AVERAGEIF(TournamentData[POD],'Pod Analysis'!B18,TournamentData[Champion''s Score]))</f>
        <v/>
      </c>
      <c r="D18" t="str">
        <f>IF(ISERR(AVERAGEIF(InnovationProjectResults[POD],'Pod Analysis'!B18,InnovationProjectResults[Innovation Project Score])),"",AVERAGEIF(InnovationProjectResults[POD],'Pod Analysis'!B18,InnovationProjectResults[Innovation Project Score]))</f>
        <v/>
      </c>
      <c r="E18" t="str">
        <f>IF(ISERR(AVERAGEIF(RobotDesignResults[POD],'Pod Analysis'!B18,RobotDesignResults[Robot Design Score])),"",AVERAGEIF(RobotDesignResults[POD],'Pod Analysis'!B18,RobotDesignResults[Robot Design Score]))</f>
        <v/>
      </c>
      <c r="F18" t="str">
        <f>IF(ISERR(AVERAGEIF(CoreValuesResults[POD],'Pod Analysis'!B18,CoreValuesResults[Core Values Score])),"",AVERAGEIF(CoreValuesResults[POD],'Pod Analysis'!B18,CoreValuesResults[Core Values Score]))</f>
        <v/>
      </c>
    </row>
    <row r="19" spans="2:6" x14ac:dyDescent="0.25">
      <c r="B19">
        <v>18</v>
      </c>
      <c r="C19" t="str">
        <f>IF(ISERR(AVERAGEIF(TournamentData[POD],'Pod Analysis'!B19,TournamentData[Champion''s Score])),"",AVERAGEIF(TournamentData[POD],'Pod Analysis'!B19,TournamentData[Champion''s Score]))</f>
        <v/>
      </c>
      <c r="D19" t="str">
        <f>IF(ISERR(AVERAGEIF(InnovationProjectResults[POD],'Pod Analysis'!B19,InnovationProjectResults[Innovation Project Score])),"",AVERAGEIF(InnovationProjectResults[POD],'Pod Analysis'!B19,InnovationProjectResults[Innovation Project Score]))</f>
        <v/>
      </c>
      <c r="E19" t="str">
        <f>IF(ISERR(AVERAGEIF(RobotDesignResults[POD],'Pod Analysis'!B19,RobotDesignResults[Robot Design Score])),"",AVERAGEIF(RobotDesignResults[POD],'Pod Analysis'!B19,RobotDesignResults[Robot Design Score]))</f>
        <v/>
      </c>
      <c r="F19" t="str">
        <f>IF(ISERR(AVERAGEIF(CoreValuesResults[POD],'Pod Analysis'!B19,CoreValuesResults[Core Values Score])),"",AVERAGEIF(CoreValuesResults[POD],'Pod Analysis'!B19,CoreValuesResults[Core Values Score]))</f>
        <v/>
      </c>
    </row>
    <row r="20" spans="2:6" x14ac:dyDescent="0.25">
      <c r="B20">
        <v>19</v>
      </c>
      <c r="C20" t="str">
        <f>IF(ISERR(AVERAGEIF(TournamentData[POD],'Pod Analysis'!B20,TournamentData[Champion''s Score])),"",AVERAGEIF(TournamentData[POD],'Pod Analysis'!B20,TournamentData[Champion''s Score]))</f>
        <v/>
      </c>
      <c r="D20" t="str">
        <f>IF(ISERR(AVERAGEIF(InnovationProjectResults[POD],'Pod Analysis'!B20,InnovationProjectResults[Innovation Project Score])),"",AVERAGEIF(InnovationProjectResults[POD],'Pod Analysis'!B20,InnovationProjectResults[Innovation Project Score]))</f>
        <v/>
      </c>
      <c r="E20" t="str">
        <f>IF(ISERR(AVERAGEIF(RobotDesignResults[POD],'Pod Analysis'!B20,RobotDesignResults[Robot Design Score])),"",AVERAGEIF(RobotDesignResults[POD],'Pod Analysis'!B20,RobotDesignResults[Robot Design Score]))</f>
        <v/>
      </c>
      <c r="F20" t="str">
        <f>IF(ISERR(AVERAGEIF(CoreValuesResults[POD],'Pod Analysis'!B20,CoreValuesResults[Core Values Score])),"",AVERAGEIF(CoreValuesResults[POD],'Pod Analysis'!B20,CoreValuesResults[Core Values Score]))</f>
        <v/>
      </c>
    </row>
    <row r="21" spans="2:6" x14ac:dyDescent="0.25">
      <c r="B21">
        <v>20</v>
      </c>
      <c r="C21" t="str">
        <f>IF(ISERR(AVERAGEIF(TournamentData[POD],'Pod Analysis'!B21,TournamentData[Champion''s Score])),"",AVERAGEIF(TournamentData[POD],'Pod Analysis'!B21,TournamentData[Champion''s Score]))</f>
        <v/>
      </c>
      <c r="D21" t="str">
        <f>IF(ISERR(AVERAGEIF(InnovationProjectResults[POD],'Pod Analysis'!B21,InnovationProjectResults[Innovation Project Score])),"",AVERAGEIF(InnovationProjectResults[POD],'Pod Analysis'!B21,InnovationProjectResults[Innovation Project Score]))</f>
        <v/>
      </c>
      <c r="E21" t="str">
        <f>IF(ISERR(AVERAGEIF(RobotDesignResults[POD],'Pod Analysis'!B21,RobotDesignResults[Robot Design Score])),"",AVERAGEIF(RobotDesignResults[POD],'Pod Analysis'!B21,RobotDesignResults[Robot Design Score]))</f>
        <v/>
      </c>
      <c r="F21" t="str">
        <f>IF(ISERR(AVERAGEIF(CoreValuesResults[POD],'Pod Analysis'!B21,CoreValuesResults[Core Values Score])),"",AVERAGEIF(CoreValuesResults[POD],'Pod Analysis'!B21,CoreValuesResults[Core Values Score]))</f>
        <v/>
      </c>
    </row>
    <row r="22" spans="2:6" x14ac:dyDescent="0.25">
      <c r="B22">
        <v>21</v>
      </c>
      <c r="C22" t="str">
        <f>IF(ISERR(AVERAGEIF(TournamentData[POD],'Pod Analysis'!B22,TournamentData[Champion''s Score])),"",AVERAGEIF(TournamentData[POD],'Pod Analysis'!B22,TournamentData[Champion''s Score]))</f>
        <v/>
      </c>
      <c r="D22" t="str">
        <f>IF(ISERR(AVERAGEIF(InnovationProjectResults[POD],'Pod Analysis'!B22,InnovationProjectResults[Innovation Project Score])),"",AVERAGEIF(InnovationProjectResults[POD],'Pod Analysis'!B22,InnovationProjectResults[Innovation Project Score]))</f>
        <v/>
      </c>
      <c r="E22" t="str">
        <f>IF(ISERR(AVERAGEIF(RobotDesignResults[POD],'Pod Analysis'!B22,RobotDesignResults[Robot Design Score])),"",AVERAGEIF(RobotDesignResults[POD],'Pod Analysis'!B22,RobotDesignResults[Robot Design Score]))</f>
        <v/>
      </c>
      <c r="F22" t="str">
        <f>IF(ISERR(AVERAGEIF(CoreValuesResults[POD],'Pod Analysis'!B22,CoreValuesResults[Core Values Score])),"",AVERAGEIF(CoreValuesResults[POD],'Pod Analysis'!B22,CoreValuesResults[Core Values Score]))</f>
        <v/>
      </c>
    </row>
    <row r="23" spans="2:6" x14ac:dyDescent="0.25">
      <c r="B23">
        <v>22</v>
      </c>
      <c r="C23" t="str">
        <f>IF(ISERR(AVERAGEIF(TournamentData[POD],'Pod Analysis'!B23,TournamentData[Champion''s Score])),"",AVERAGEIF(TournamentData[POD],'Pod Analysis'!B23,TournamentData[Champion''s Score]))</f>
        <v/>
      </c>
      <c r="D23" t="str">
        <f>IF(ISERR(AVERAGEIF(InnovationProjectResults[POD],'Pod Analysis'!B23,InnovationProjectResults[Innovation Project Score])),"",AVERAGEIF(InnovationProjectResults[POD],'Pod Analysis'!B23,InnovationProjectResults[Innovation Project Score]))</f>
        <v/>
      </c>
      <c r="E23" t="str">
        <f>IF(ISERR(AVERAGEIF(RobotDesignResults[POD],'Pod Analysis'!B23,RobotDesignResults[Robot Design Score])),"",AVERAGEIF(RobotDesignResults[POD],'Pod Analysis'!B23,RobotDesignResults[Robot Design Score]))</f>
        <v/>
      </c>
      <c r="F23" t="str">
        <f>IF(ISERR(AVERAGEIF(CoreValuesResults[POD],'Pod Analysis'!B23,CoreValuesResults[Core Values Score])),"",AVERAGEIF(CoreValuesResults[POD],'Pod Analysis'!B23,CoreValuesResults[Core Values Score]))</f>
        <v/>
      </c>
    </row>
    <row r="24" spans="2:6" x14ac:dyDescent="0.25">
      <c r="B24">
        <v>23</v>
      </c>
      <c r="C24" t="str">
        <f>IF(ISERR(AVERAGEIF(TournamentData[POD],'Pod Analysis'!B24,TournamentData[Champion''s Score])),"",AVERAGEIF(TournamentData[POD],'Pod Analysis'!B24,TournamentData[Champion''s Score]))</f>
        <v/>
      </c>
      <c r="D24" t="str">
        <f>IF(ISERR(AVERAGEIF(InnovationProjectResults[POD],'Pod Analysis'!B24,InnovationProjectResults[Innovation Project Score])),"",AVERAGEIF(InnovationProjectResults[POD],'Pod Analysis'!B24,InnovationProjectResults[Innovation Project Score]))</f>
        <v/>
      </c>
      <c r="E24" t="str">
        <f>IF(ISERR(AVERAGEIF(RobotDesignResults[POD],'Pod Analysis'!B24,RobotDesignResults[Robot Design Score])),"",AVERAGEIF(RobotDesignResults[POD],'Pod Analysis'!B24,RobotDesignResults[Robot Design Score]))</f>
        <v/>
      </c>
      <c r="F24" t="str">
        <f>IF(ISERR(AVERAGEIF(CoreValuesResults[POD],'Pod Analysis'!B24,CoreValuesResults[Core Values Score])),"",AVERAGEIF(CoreValuesResults[POD],'Pod Analysis'!B24,CoreValuesResults[Core Values Score]))</f>
        <v/>
      </c>
    </row>
    <row r="25" spans="2:6" x14ac:dyDescent="0.25">
      <c r="B25">
        <v>24</v>
      </c>
      <c r="C25" t="str">
        <f>IF(ISERR(AVERAGEIF(TournamentData[POD],'Pod Analysis'!B25,TournamentData[Champion''s Score])),"",AVERAGEIF(TournamentData[POD],'Pod Analysis'!B25,TournamentData[Champion''s Score]))</f>
        <v/>
      </c>
      <c r="D25" t="str">
        <f>IF(ISERR(AVERAGEIF(InnovationProjectResults[POD],'Pod Analysis'!B25,InnovationProjectResults[Innovation Project Score])),"",AVERAGEIF(InnovationProjectResults[POD],'Pod Analysis'!B25,InnovationProjectResults[Innovation Project Score]))</f>
        <v/>
      </c>
      <c r="E25" t="str">
        <f>IF(ISERR(AVERAGEIF(RobotDesignResults[POD],'Pod Analysis'!B25,RobotDesignResults[Robot Design Score])),"",AVERAGEIF(RobotDesignResults[POD],'Pod Analysis'!B25,RobotDesignResults[Robot Design Score]))</f>
        <v/>
      </c>
      <c r="F25" t="str">
        <f>IF(ISERR(AVERAGEIF(CoreValuesResults[POD],'Pod Analysis'!B25,CoreValuesResults[Core Values Score])),"",AVERAGEIF(CoreValuesResults[POD],'Pod Analysis'!B25,CoreValuesResults[Core Values Score]))</f>
        <v/>
      </c>
    </row>
    <row r="26" spans="2:6" x14ac:dyDescent="0.25">
      <c r="B26">
        <v>25</v>
      </c>
      <c r="C26" t="str">
        <f>IF(ISERR(AVERAGEIF(TournamentData[POD],'Pod Analysis'!B26,TournamentData[Champion''s Score])),"",AVERAGEIF(TournamentData[POD],'Pod Analysis'!B26,TournamentData[Champion''s Score]))</f>
        <v/>
      </c>
      <c r="D26" t="str">
        <f>IF(ISERR(AVERAGEIF(InnovationProjectResults[POD],'Pod Analysis'!B26,InnovationProjectResults[Innovation Project Score])),"",AVERAGEIF(InnovationProjectResults[POD],'Pod Analysis'!B26,InnovationProjectResults[Innovation Project Score]))</f>
        <v/>
      </c>
      <c r="E26" t="str">
        <f>IF(ISERR(AVERAGEIF(RobotDesignResults[POD],'Pod Analysis'!B26,RobotDesignResults[Robot Design Score])),"",AVERAGEIF(RobotDesignResults[POD],'Pod Analysis'!B26,RobotDesignResults[Robot Design Score]))</f>
        <v/>
      </c>
      <c r="F26" t="str">
        <f>IF(ISERR(AVERAGEIF(CoreValuesResults[POD],'Pod Analysis'!B26,CoreValuesResults[Core Values Score])),"",AVERAGEIF(CoreValuesResults[POD],'Pod Analysis'!B26,CoreValuesResults[Core Values Score]))</f>
        <v/>
      </c>
    </row>
    <row r="27" spans="2:6" x14ac:dyDescent="0.25">
      <c r="B27">
        <v>26</v>
      </c>
      <c r="C27" t="str">
        <f>IF(ISERR(AVERAGEIF(TournamentData[POD],'Pod Analysis'!B27,TournamentData[Champion''s Score])),"",AVERAGEIF(TournamentData[POD],'Pod Analysis'!B27,TournamentData[Champion''s Score]))</f>
        <v/>
      </c>
      <c r="D27" t="str">
        <f>IF(ISERR(AVERAGEIF(InnovationProjectResults[POD],'Pod Analysis'!B27,InnovationProjectResults[Innovation Project Score])),"",AVERAGEIF(InnovationProjectResults[POD],'Pod Analysis'!B27,InnovationProjectResults[Innovation Project Score]))</f>
        <v/>
      </c>
      <c r="E27" t="str">
        <f>IF(ISERR(AVERAGEIF(RobotDesignResults[POD],'Pod Analysis'!B27,RobotDesignResults[Robot Design Score])),"",AVERAGEIF(RobotDesignResults[POD],'Pod Analysis'!B27,RobotDesignResults[Robot Design Score]))</f>
        <v/>
      </c>
      <c r="F27" t="str">
        <f>IF(ISERR(AVERAGEIF(CoreValuesResults[POD],'Pod Analysis'!B27,CoreValuesResults[Core Values Score])),"",AVERAGEIF(CoreValuesResults[POD],'Pod Analysis'!B27,CoreValuesResults[Core Values Score]))</f>
        <v/>
      </c>
    </row>
    <row r="28" spans="2:6" x14ac:dyDescent="0.25">
      <c r="B28">
        <v>27</v>
      </c>
      <c r="C28" t="str">
        <f>IF(ISERR(AVERAGEIF(TournamentData[POD],'Pod Analysis'!B28,TournamentData[Champion''s Score])),"",AVERAGEIF(TournamentData[POD],'Pod Analysis'!B28,TournamentData[Champion''s Score]))</f>
        <v/>
      </c>
      <c r="D28" t="str">
        <f>IF(ISERR(AVERAGEIF(InnovationProjectResults[POD],'Pod Analysis'!B28,InnovationProjectResults[Innovation Project Score])),"",AVERAGEIF(InnovationProjectResults[POD],'Pod Analysis'!B28,InnovationProjectResults[Innovation Project Score]))</f>
        <v/>
      </c>
      <c r="E28" t="str">
        <f>IF(ISERR(AVERAGEIF(RobotDesignResults[POD],'Pod Analysis'!B28,RobotDesignResults[Robot Design Score])),"",AVERAGEIF(RobotDesignResults[POD],'Pod Analysis'!B28,RobotDesignResults[Robot Design Score]))</f>
        <v/>
      </c>
      <c r="F28" t="str">
        <f>IF(ISERR(AVERAGEIF(CoreValuesResults[POD],'Pod Analysis'!B28,CoreValuesResults[Core Values Score])),"",AVERAGEIF(CoreValuesResults[POD],'Pod Analysis'!B28,CoreValuesResults[Core Values Score]))</f>
        <v/>
      </c>
    </row>
    <row r="29" spans="2:6" x14ac:dyDescent="0.25">
      <c r="B29">
        <v>28</v>
      </c>
      <c r="C29" t="str">
        <f>IF(ISERR(AVERAGEIF(TournamentData[POD],'Pod Analysis'!B29,TournamentData[Champion''s Score])),"",AVERAGEIF(TournamentData[POD],'Pod Analysis'!B29,TournamentData[Champion''s Score]))</f>
        <v/>
      </c>
      <c r="D29" t="str">
        <f>IF(ISERR(AVERAGEIF(InnovationProjectResults[POD],'Pod Analysis'!B29,InnovationProjectResults[Innovation Project Score])),"",AVERAGEIF(InnovationProjectResults[POD],'Pod Analysis'!B29,InnovationProjectResults[Innovation Project Score]))</f>
        <v/>
      </c>
      <c r="E29" t="str">
        <f>IF(ISERR(AVERAGEIF(RobotDesignResults[POD],'Pod Analysis'!B29,RobotDesignResults[Robot Design Score])),"",AVERAGEIF(RobotDesignResults[POD],'Pod Analysis'!B29,RobotDesignResults[Robot Design Score]))</f>
        <v/>
      </c>
      <c r="F29" t="str">
        <f>IF(ISERR(AVERAGEIF(CoreValuesResults[POD],'Pod Analysis'!B29,CoreValuesResults[Core Values Score])),"",AVERAGEIF(CoreValuesResults[POD],'Pod Analysis'!B29,CoreValuesResults[Core Values Score]))</f>
        <v/>
      </c>
    </row>
    <row r="30" spans="2:6" x14ac:dyDescent="0.25">
      <c r="B30">
        <v>29</v>
      </c>
      <c r="C30" t="str">
        <f>IF(ISERR(AVERAGEIF(TournamentData[POD],'Pod Analysis'!B30,TournamentData[Champion''s Score])),"",AVERAGEIF(TournamentData[POD],'Pod Analysis'!B30,TournamentData[Champion''s Score]))</f>
        <v/>
      </c>
      <c r="D30" t="str">
        <f>IF(ISERR(AVERAGEIF(InnovationProjectResults[POD],'Pod Analysis'!B30,InnovationProjectResults[Innovation Project Score])),"",AVERAGEIF(InnovationProjectResults[POD],'Pod Analysis'!B30,InnovationProjectResults[Innovation Project Score]))</f>
        <v/>
      </c>
      <c r="E30" t="str">
        <f>IF(ISERR(AVERAGEIF(RobotDesignResults[POD],'Pod Analysis'!B30,RobotDesignResults[Robot Design Score])),"",AVERAGEIF(RobotDesignResults[POD],'Pod Analysis'!B30,RobotDesignResults[Robot Design Score]))</f>
        <v/>
      </c>
      <c r="F30" t="str">
        <f>IF(ISERR(AVERAGEIF(CoreValuesResults[POD],'Pod Analysis'!B30,CoreValuesResults[Core Values Score])),"",AVERAGEIF(CoreValuesResults[POD],'Pod Analysis'!B30,CoreValuesResults[Core Values Score]))</f>
        <v/>
      </c>
    </row>
    <row r="31" spans="2:6" x14ac:dyDescent="0.25">
      <c r="B31">
        <v>30</v>
      </c>
      <c r="C31" t="str">
        <f>IF(ISERR(AVERAGEIF(TournamentData[POD],'Pod Analysis'!B31,TournamentData[Champion''s Score])),"",AVERAGEIF(TournamentData[POD],'Pod Analysis'!B31,TournamentData[Champion''s Score]))</f>
        <v/>
      </c>
      <c r="D31" t="str">
        <f>IF(ISERR(AVERAGEIF(InnovationProjectResults[POD],'Pod Analysis'!B31,InnovationProjectResults[Innovation Project Score])),"",AVERAGEIF(InnovationProjectResults[POD],'Pod Analysis'!B31,InnovationProjectResults[Innovation Project Score]))</f>
        <v/>
      </c>
      <c r="E31" t="str">
        <f>IF(ISERR(AVERAGEIF(RobotDesignResults[POD],'Pod Analysis'!B31,RobotDesignResults[Robot Design Score])),"",AVERAGEIF(RobotDesignResults[POD],'Pod Analysis'!B31,RobotDesignResults[Robot Design Score]))</f>
        <v/>
      </c>
      <c r="F31" t="str">
        <f>IF(ISERR(AVERAGEIF(CoreValuesResults[POD],'Pod Analysis'!B31,CoreValuesResults[Core Values Score])),"",AVERAGEIF(CoreValuesResults[POD],'Pod Analysis'!B31,CoreValuesResults[Core Values Score]))</f>
        <v/>
      </c>
    </row>
    <row r="32" spans="2:6" x14ac:dyDescent="0.25">
      <c r="B32">
        <v>31</v>
      </c>
      <c r="C32" t="str">
        <f>IF(ISERR(AVERAGEIF(TournamentData[POD],'Pod Analysis'!B32,TournamentData[Champion''s Score])),"",AVERAGEIF(TournamentData[POD],'Pod Analysis'!B32,TournamentData[Champion''s Score]))</f>
        <v/>
      </c>
      <c r="D32" t="str">
        <f>IF(ISERR(AVERAGEIF(InnovationProjectResults[POD],'Pod Analysis'!B32,InnovationProjectResults[Innovation Project Score])),"",AVERAGEIF(InnovationProjectResults[POD],'Pod Analysis'!B32,InnovationProjectResults[Innovation Project Score]))</f>
        <v/>
      </c>
      <c r="E32" t="str">
        <f>IF(ISERR(AVERAGEIF(RobotDesignResults[POD],'Pod Analysis'!B32,RobotDesignResults[Robot Design Score])),"",AVERAGEIF(RobotDesignResults[POD],'Pod Analysis'!B32,RobotDesignResults[Robot Design Score]))</f>
        <v/>
      </c>
      <c r="F32" t="str">
        <f>IF(ISERR(AVERAGEIF(CoreValuesResults[POD],'Pod Analysis'!B32,CoreValuesResults[Core Values Score])),"",AVERAGEIF(CoreValuesResults[POD],'Pod Analysis'!B32,CoreValuesResults[Core Values Score]))</f>
        <v/>
      </c>
    </row>
    <row r="33" spans="2:6" x14ac:dyDescent="0.25">
      <c r="B33">
        <v>32</v>
      </c>
      <c r="C33" t="str">
        <f>IF(ISERR(AVERAGEIF(TournamentData[POD],'Pod Analysis'!B33,TournamentData[Champion''s Score])),"",AVERAGEIF(TournamentData[POD],'Pod Analysis'!B33,TournamentData[Champion''s Score]))</f>
        <v/>
      </c>
      <c r="D33" t="str">
        <f>IF(ISERR(AVERAGEIF(InnovationProjectResults[POD],'Pod Analysis'!B33,InnovationProjectResults[Innovation Project Score])),"",AVERAGEIF(InnovationProjectResults[POD],'Pod Analysis'!B33,InnovationProjectResults[Innovation Project Score]))</f>
        <v/>
      </c>
      <c r="E33" t="str">
        <f>IF(ISERR(AVERAGEIF(RobotDesignResults[POD],'Pod Analysis'!B33,RobotDesignResults[Robot Design Score])),"",AVERAGEIF(RobotDesignResults[POD],'Pod Analysis'!B33,RobotDesignResults[Robot Design Score]))</f>
        <v/>
      </c>
      <c r="F33" t="str">
        <f>IF(ISERR(AVERAGEIF(CoreValuesResults[POD],'Pod Analysis'!B33,CoreValuesResults[Core Values Score])),"",AVERAGEIF(CoreValuesResults[POD],'Pod Analysis'!B33,CoreValuesResults[Core Values Score]))</f>
        <v/>
      </c>
    </row>
    <row r="34" spans="2:6" x14ac:dyDescent="0.25">
      <c r="B34">
        <v>33</v>
      </c>
      <c r="C34" t="str">
        <f>IF(ISERR(AVERAGEIF(TournamentData[POD],'Pod Analysis'!B34,TournamentData[Champion''s Score])),"",AVERAGEIF(TournamentData[POD],'Pod Analysis'!B34,TournamentData[Champion''s Score]))</f>
        <v/>
      </c>
      <c r="D34" t="str">
        <f>IF(ISERR(AVERAGEIF(InnovationProjectResults[POD],'Pod Analysis'!B34,InnovationProjectResults[Innovation Project Score])),"",AVERAGEIF(InnovationProjectResults[POD],'Pod Analysis'!B34,InnovationProjectResults[Innovation Project Score]))</f>
        <v/>
      </c>
      <c r="E34" t="str">
        <f>IF(ISERR(AVERAGEIF(RobotDesignResults[POD],'Pod Analysis'!B34,RobotDesignResults[Robot Design Score])),"",AVERAGEIF(RobotDesignResults[POD],'Pod Analysis'!B34,RobotDesignResults[Robot Design Score]))</f>
        <v/>
      </c>
      <c r="F34" t="str">
        <f>IF(ISERR(AVERAGEIF(CoreValuesResults[POD],'Pod Analysis'!B34,CoreValuesResults[Core Values Score])),"",AVERAGEIF(CoreValuesResults[POD],'Pod Analysis'!B34,CoreValuesResults[Core Values Score]))</f>
        <v/>
      </c>
    </row>
    <row r="35" spans="2:6" x14ac:dyDescent="0.25">
      <c r="B35">
        <v>34</v>
      </c>
      <c r="C35" t="str">
        <f>IF(ISERR(AVERAGEIF(TournamentData[POD],'Pod Analysis'!B35,TournamentData[Champion''s Score])),"",AVERAGEIF(TournamentData[POD],'Pod Analysis'!B35,TournamentData[Champion''s Score]))</f>
        <v/>
      </c>
      <c r="D35" t="str">
        <f>IF(ISERR(AVERAGEIF(InnovationProjectResults[POD],'Pod Analysis'!B35,InnovationProjectResults[Innovation Project Score])),"",AVERAGEIF(InnovationProjectResults[POD],'Pod Analysis'!B35,InnovationProjectResults[Innovation Project Score]))</f>
        <v/>
      </c>
      <c r="E35" t="str">
        <f>IF(ISERR(AVERAGEIF(RobotDesignResults[POD],'Pod Analysis'!B35,RobotDesignResults[Robot Design Score])),"",AVERAGEIF(RobotDesignResults[POD],'Pod Analysis'!B35,RobotDesignResults[Robot Design Score]))</f>
        <v/>
      </c>
      <c r="F35" t="str">
        <f>IF(ISERR(AVERAGEIF(CoreValuesResults[POD],'Pod Analysis'!B35,CoreValuesResults[Core Values Score])),"",AVERAGEIF(CoreValuesResults[POD],'Pod Analysis'!B35,CoreValuesResults[Core Values Score]))</f>
        <v/>
      </c>
    </row>
    <row r="36" spans="2:6" x14ac:dyDescent="0.25">
      <c r="B36">
        <v>35</v>
      </c>
      <c r="C36" t="str">
        <f>IF(ISERR(AVERAGEIF(TournamentData[POD],'Pod Analysis'!B36,TournamentData[Champion''s Score])),"",AVERAGEIF(TournamentData[POD],'Pod Analysis'!B36,TournamentData[Champion''s Score]))</f>
        <v/>
      </c>
      <c r="D36" t="str">
        <f>IF(ISERR(AVERAGEIF(InnovationProjectResults[POD],'Pod Analysis'!B36,InnovationProjectResults[Innovation Project Score])),"",AVERAGEIF(InnovationProjectResults[POD],'Pod Analysis'!B36,InnovationProjectResults[Innovation Project Score]))</f>
        <v/>
      </c>
      <c r="E36" t="str">
        <f>IF(ISERR(AVERAGEIF(RobotDesignResults[POD],'Pod Analysis'!B36,RobotDesignResults[Robot Design Score])),"",AVERAGEIF(RobotDesignResults[POD],'Pod Analysis'!B36,RobotDesignResults[Robot Design Score]))</f>
        <v/>
      </c>
      <c r="F36" t="str">
        <f>IF(ISERR(AVERAGEIF(CoreValuesResults[POD],'Pod Analysis'!B36,CoreValuesResults[Core Values Score])),"",AVERAGEIF(CoreValuesResults[POD],'Pod Analysis'!B36,CoreValuesResults[Core Values Score]))</f>
        <v/>
      </c>
    </row>
    <row r="37" spans="2:6" x14ac:dyDescent="0.25">
      <c r="B37">
        <v>36</v>
      </c>
      <c r="C37" t="str">
        <f>IF(ISERR(AVERAGEIF(TournamentData[POD],'Pod Analysis'!B37,TournamentData[Champion''s Score])),"",AVERAGEIF(TournamentData[POD],'Pod Analysis'!B37,TournamentData[Champion''s Score]))</f>
        <v/>
      </c>
      <c r="D37" t="str">
        <f>IF(ISERR(AVERAGEIF(InnovationProjectResults[POD],'Pod Analysis'!B37,InnovationProjectResults[Innovation Project Score])),"",AVERAGEIF(InnovationProjectResults[POD],'Pod Analysis'!B37,InnovationProjectResults[Innovation Project Score]))</f>
        <v/>
      </c>
      <c r="E37" t="str">
        <f>IF(ISERR(AVERAGEIF(RobotDesignResults[POD],'Pod Analysis'!B37,RobotDesignResults[Robot Design Score])),"",AVERAGEIF(RobotDesignResults[POD],'Pod Analysis'!B37,RobotDesignResults[Robot Design Score]))</f>
        <v/>
      </c>
      <c r="F37" t="str">
        <f>IF(ISERR(AVERAGEIF(CoreValuesResults[POD],'Pod Analysis'!B37,CoreValuesResults[Core Values Score])),"",AVERAGEIF(CoreValuesResults[POD],'Pod Analysis'!B37,CoreValuesResults[Core Values Score]))</f>
        <v/>
      </c>
    </row>
    <row r="38" spans="2:6" x14ac:dyDescent="0.25">
      <c r="B38">
        <v>37</v>
      </c>
      <c r="C38" t="str">
        <f>IF(ISERR(AVERAGEIF(TournamentData[POD],'Pod Analysis'!B38,TournamentData[Champion''s Score])),"",AVERAGEIF(TournamentData[POD],'Pod Analysis'!B38,TournamentData[Champion''s Score]))</f>
        <v/>
      </c>
      <c r="D38" t="str">
        <f>IF(ISERR(AVERAGEIF(InnovationProjectResults[POD],'Pod Analysis'!B38,InnovationProjectResults[Innovation Project Score])),"",AVERAGEIF(InnovationProjectResults[POD],'Pod Analysis'!B38,InnovationProjectResults[Innovation Project Score]))</f>
        <v/>
      </c>
      <c r="E38" t="str">
        <f>IF(ISERR(AVERAGEIF(RobotDesignResults[POD],'Pod Analysis'!B38,RobotDesignResults[Robot Design Score])),"",AVERAGEIF(RobotDesignResults[POD],'Pod Analysis'!B38,RobotDesignResults[Robot Design Score]))</f>
        <v/>
      </c>
      <c r="F38" t="str">
        <f>IF(ISERR(AVERAGEIF(CoreValuesResults[POD],'Pod Analysis'!B38,CoreValuesResults[Core Values Score])),"",AVERAGEIF(CoreValuesResults[POD],'Pod Analysis'!B38,CoreValuesResults[Core Values Score]))</f>
        <v/>
      </c>
    </row>
    <row r="39" spans="2:6" x14ac:dyDescent="0.25">
      <c r="B39">
        <v>38</v>
      </c>
      <c r="C39" t="str">
        <f>IF(ISERR(AVERAGEIF(TournamentData[POD],'Pod Analysis'!B39,TournamentData[Champion''s Score])),"",AVERAGEIF(TournamentData[POD],'Pod Analysis'!B39,TournamentData[Champion''s Score]))</f>
        <v/>
      </c>
      <c r="D39" t="str">
        <f>IF(ISERR(AVERAGEIF(InnovationProjectResults[POD],'Pod Analysis'!B39,InnovationProjectResults[Innovation Project Score])),"",AVERAGEIF(InnovationProjectResults[POD],'Pod Analysis'!B39,InnovationProjectResults[Innovation Project Score]))</f>
        <v/>
      </c>
      <c r="E39" t="str">
        <f>IF(ISERR(AVERAGEIF(RobotDesignResults[POD],'Pod Analysis'!B39,RobotDesignResults[Robot Design Score])),"",AVERAGEIF(RobotDesignResults[POD],'Pod Analysis'!B39,RobotDesignResults[Robot Design Score]))</f>
        <v/>
      </c>
      <c r="F39" t="str">
        <f>IF(ISERR(AVERAGEIF(CoreValuesResults[POD],'Pod Analysis'!B39,CoreValuesResults[Core Values Score])),"",AVERAGEIF(CoreValuesResults[POD],'Pod Analysis'!B39,CoreValuesResults[Core Values Score]))</f>
        <v/>
      </c>
    </row>
    <row r="40" spans="2:6" x14ac:dyDescent="0.25">
      <c r="B40">
        <v>39</v>
      </c>
      <c r="C40" t="str">
        <f>IF(ISERR(AVERAGEIF(TournamentData[POD],'Pod Analysis'!B40,TournamentData[Champion''s Score])),"",AVERAGEIF(TournamentData[POD],'Pod Analysis'!B40,TournamentData[Champion''s Score]))</f>
        <v/>
      </c>
      <c r="D40" t="str">
        <f>IF(ISERR(AVERAGEIF(InnovationProjectResults[POD],'Pod Analysis'!B40,InnovationProjectResults[Innovation Project Score])),"",AVERAGEIF(InnovationProjectResults[POD],'Pod Analysis'!B40,InnovationProjectResults[Innovation Project Score]))</f>
        <v/>
      </c>
      <c r="E40" t="str">
        <f>IF(ISERR(AVERAGEIF(RobotDesignResults[POD],'Pod Analysis'!B40,RobotDesignResults[Robot Design Score])),"",AVERAGEIF(RobotDesignResults[POD],'Pod Analysis'!B40,RobotDesignResults[Robot Design Score]))</f>
        <v/>
      </c>
      <c r="F40" t="str">
        <f>IF(ISERR(AVERAGEIF(CoreValuesResults[POD],'Pod Analysis'!B40,CoreValuesResults[Core Values Score])),"",AVERAGEIF(CoreValuesResults[POD],'Pod Analysis'!B40,CoreValuesResults[Core Values Score]))</f>
        <v/>
      </c>
    </row>
  </sheetData>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FF00"/>
    <pageSetUpPr fitToPage="1"/>
  </sheetPr>
  <dimension ref="A1:AC3"/>
  <sheetViews>
    <sheetView tabSelected="1" zoomScaleNormal="100" workbookViewId="0">
      <pane xSplit="3" ySplit="2" topLeftCell="F3" activePane="bottomRight" state="frozen"/>
      <selection pane="topRight" activeCell="C1" sqref="C1"/>
      <selection pane="bottomLeft" activeCell="A3" sqref="A3"/>
      <selection pane="bottomRight" activeCell="Q3" sqref="Q3"/>
    </sheetView>
  </sheetViews>
  <sheetFormatPr defaultColWidth="9.140625" defaultRowHeight="20.25" customHeight="1" x14ac:dyDescent="0.25"/>
  <cols>
    <col min="1" max="1" width="16.7109375" style="8" customWidth="1"/>
    <col min="2" max="2" width="8.7109375" style="8" customWidth="1"/>
    <col min="3" max="3" width="32.7109375" style="1" customWidth="1"/>
    <col min="4" max="6" width="6.42578125" customWidth="1"/>
    <col min="7" max="8" width="6.42578125" style="1" hidden="1" customWidth="1"/>
    <col min="9" max="9" width="6.42578125" style="1" customWidth="1"/>
    <col min="10" max="13" width="10.42578125" style="1" customWidth="1"/>
    <col min="14" max="15" width="15.42578125" style="1" customWidth="1"/>
    <col min="16" max="16" width="26.140625" style="1" customWidth="1"/>
    <col min="17" max="17" width="14.140625" customWidth="1"/>
    <col min="18" max="20" width="8.42578125" style="23" hidden="1" customWidth="1"/>
    <col min="21" max="21" width="8.42578125" style="22" hidden="1" customWidth="1"/>
    <col min="22" max="22" width="8.42578125" hidden="1" customWidth="1"/>
    <col min="23" max="23" width="80.42578125" style="8" customWidth="1"/>
    <col min="24" max="24" width="9.140625" style="8" customWidth="1"/>
    <col min="25" max="25" width="13" style="24" bestFit="1" customWidth="1"/>
    <col min="26" max="26" width="13" style="46" bestFit="1" customWidth="1"/>
    <col min="27" max="29" width="9.140625" style="25" customWidth="1"/>
    <col min="30" max="33" width="9.140625" style="24" customWidth="1"/>
    <col min="34" max="16384" width="9.140625" style="24"/>
  </cols>
  <sheetData>
    <row r="1" spans="1:26" s="43" customFormat="1" ht="54.75" customHeight="1" x14ac:dyDescent="0.25">
      <c r="A1" s="101" t="s">
        <v>17</v>
      </c>
      <c r="B1" s="101"/>
      <c r="C1" s="102"/>
      <c r="D1" s="101" t="s">
        <v>18</v>
      </c>
      <c r="E1" s="102"/>
      <c r="F1" s="102"/>
      <c r="G1" s="102"/>
      <c r="H1" s="102"/>
      <c r="I1" s="102"/>
      <c r="J1" s="102"/>
      <c r="K1" s="101" t="s">
        <v>19</v>
      </c>
      <c r="L1" s="102"/>
      <c r="M1" s="102"/>
      <c r="N1" s="101" t="s">
        <v>20</v>
      </c>
      <c r="O1" s="102"/>
      <c r="P1" s="4" t="s">
        <v>116</v>
      </c>
      <c r="Q1" s="97" t="e">
        <f>VLOOKUP("ADV", AwardDef[], 4,0)</f>
        <v>#N/A</v>
      </c>
      <c r="R1" s="101" t="s">
        <v>21</v>
      </c>
      <c r="S1" s="102"/>
      <c r="T1" s="102"/>
      <c r="U1" s="102"/>
      <c r="V1" s="102"/>
      <c r="W1" s="98" t="e">
        <f>"You have selected " &amp; COUNTIF(TournamentData[Advance?],"Yes") &amp; " of " &amp; Q1 &amp; " permitted advancing teams" &amp; CHAR(10) &amp; IF(COUNTIF(TournamentData[Advance?],"Alt")&gt;0,"You have selected an alternative advancing team", "You have NOT selected an alternative advancing team")</f>
        <v>#N/A</v>
      </c>
      <c r="X1" s="4"/>
      <c r="Z1" s="45"/>
    </row>
    <row r="2" spans="1:26" s="9" customFormat="1" ht="118.5" customHeight="1" x14ac:dyDescent="0.25">
      <c r="A2" s="47" t="s">
        <v>125</v>
      </c>
      <c r="B2" s="47" t="s">
        <v>96</v>
      </c>
      <c r="C2" s="47" t="s">
        <v>13</v>
      </c>
      <c r="D2" s="48" t="s">
        <v>23</v>
      </c>
      <c r="E2" s="48" t="s">
        <v>24</v>
      </c>
      <c r="F2" s="48" t="s">
        <v>25</v>
      </c>
      <c r="G2" s="48" t="s">
        <v>26</v>
      </c>
      <c r="H2" s="48" t="s">
        <v>27</v>
      </c>
      <c r="I2" s="48" t="s">
        <v>28</v>
      </c>
      <c r="J2" s="49" t="s">
        <v>29</v>
      </c>
      <c r="K2" s="50" t="s">
        <v>30</v>
      </c>
      <c r="L2" s="51" t="s">
        <v>31</v>
      </c>
      <c r="M2" s="52" t="s">
        <v>32</v>
      </c>
      <c r="N2" s="53" t="s">
        <v>33</v>
      </c>
      <c r="O2" s="54" t="s">
        <v>34</v>
      </c>
      <c r="P2" s="47" t="s">
        <v>35</v>
      </c>
      <c r="Q2" s="47" t="s">
        <v>36</v>
      </c>
      <c r="R2" s="27" t="s">
        <v>37</v>
      </c>
      <c r="S2" s="28" t="s">
        <v>38</v>
      </c>
      <c r="T2" s="29" t="s">
        <v>39</v>
      </c>
      <c r="U2" s="30" t="s">
        <v>40</v>
      </c>
      <c r="V2" s="31" t="s">
        <v>41</v>
      </c>
      <c r="W2" s="32" t="s">
        <v>22</v>
      </c>
      <c r="Z2" s="44"/>
    </row>
    <row r="3" spans="1:26" ht="21" customHeight="1" x14ac:dyDescent="0.25">
      <c r="A3" s="68">
        <v>1</v>
      </c>
      <c r="B3" s="68" t="e">
        <f>INDEX(OfficialTeamList[Pod Number],MATCH(TournamentData[[#This Row],[Team '#]], OfficialTeamList[Team '#],0))</f>
        <v>#N/A</v>
      </c>
      <c r="C3" s="95" t="e">
        <f>INDEX(OfficialTeamList[Team Name],MATCH(TournamentData[[#This Row],[Team '#]], OfficialTeamList[Team '#],0))</f>
        <v>#N/A</v>
      </c>
      <c r="D3" s="73">
        <f>IF(TournamentData[[#This Row],[Team '#]]="","",IF(ISNA(INDEX('Robot Game Scores'!C:C,MATCH(TournamentData[[#This Row],[Team '#]], 'Robot Game Scores'!$A:$A,0))),0,INDEX('Robot Game Scores'!C:C,MATCH(TournamentData[[#This Row],[Team '#]], 'Robot Game Scores'!$A:$A,0))))</f>
        <v>0</v>
      </c>
      <c r="E3" s="73">
        <f>IF(TournamentData[[#This Row],[Team '#]]="","",IF(ISNA(INDEX('Robot Game Scores'!D:D,MATCH(TournamentData[[#This Row],[Team '#]], 'Robot Game Scores'!$A:$A,0))),0,INDEX('Robot Game Scores'!D:D,MATCH(TournamentData[[#This Row],[Team '#]], 'Robot Game Scores'!$A:$A,0))))</f>
        <v>0</v>
      </c>
      <c r="F3" s="73">
        <f>IF(TournamentData[[#This Row],[Team '#]]="","",IF(ISNA(INDEX('Robot Game Scores'!E:E,MATCH(TournamentData[[#This Row],[Team '#]], 'Robot Game Scores'!$A:$A,0))),0,INDEX('Robot Game Scores'!E:E,MATCH(TournamentData[[#This Row],[Team '#]], 'Robot Game Scores'!$A:$A,0))))</f>
        <v>0</v>
      </c>
      <c r="G3" s="73" t="e">
        <f>IF(TournamentData[[#This Row],[Team '#]]="","",IF(ISNA(INDEX('Robot Game Scores'!#REF!,MATCH(TournamentData[[#This Row],[Team '#]], 'Robot Game Scores'!$A:$A,0))),0,INDEX('Robot Game Scores'!#REF!,MATCH(TournamentData[[#This Row],[Team '#]], 'Robot Game Scores'!$A:$A,0))))</f>
        <v>#REF!</v>
      </c>
      <c r="H3" s="73" t="e">
        <f>IF(TournamentData[[#This Row],[Team '#]]="","",IF(ISNA(INDEX('Robot Game Scores'!#REF!,MATCH(TournamentData[[#This Row],[Team '#]], 'Robot Game Scores'!$A:$A,0))),0,INDEX('Robot Game Scores'!#REF!,MATCH(TournamentData[[#This Row],[Team '#]], 'Robot Game Scores'!$A:$A,0))))</f>
        <v>#REF!</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 s="73">
        <f>_xlfn.RANK.EQ(TournamentData[[#This Row],[Max Robot Game Score]],TournamentData[Max Robot Game Score])</f>
        <v>1</v>
      </c>
      <c r="K3" s="73" t="e">
        <f>INDEX(CoreValuesResults[Core Values Rank],MATCH(TournamentData[[#This Row],[Team '#]],CoreValuesResults[Team '#],0))</f>
        <v>#N/A</v>
      </c>
      <c r="L3" s="73" t="e">
        <f>INDEX(InnovationProjectResults[Innovation Project Rank],MATCH(TournamentData[[#This Row],[Team '#]],InnovationProjectResults[Team '#],0))</f>
        <v>#N/A</v>
      </c>
      <c r="M3" s="73" t="e">
        <f>INDEX(RobotDesignResults[Robot Design Rank],MATCH(TournamentData[[#This Row],[Team '#]],RobotDesignResults[Team '#],0))</f>
        <v>#N/A</v>
      </c>
      <c r="N3" s="73" t="e">
        <f>SUM(TournamentData[[#This Row],[Robot Game Rank]:[Robot Design Rank]])</f>
        <v>#N/A</v>
      </c>
      <c r="O3" s="72" t="e">
        <f>RANK(TournamentData[[#This Row],[Champion''s Score]],TournamentData[Champion''s Score],1)</f>
        <v>#N/A</v>
      </c>
      <c r="P3" s="74"/>
      <c r="Q3" s="78"/>
      <c r="R3" s="75">
        <f>IF(ISNA(INDEX(CoreValuesResults[Core Values Score],MATCH(TournamentData[[#This Row],[Team '#]],CoreValuesResults[Team '#],0))),0,INDEX(CoreValuesResults[Core Values Score],MATCH(TournamentData[[#This Row],[Team '#]],CoreValuesResults[Team '#],0)))</f>
        <v>0</v>
      </c>
      <c r="S3" s="75">
        <f>IF(ISNA(INDEX(InnovationProjectResults[Innovation Project Score],MATCH(TournamentData[[#This Row],[Team '#]],InnovationProjectResults[Team '#],0))),0,INDEX(InnovationProjectResults[Innovation Project Score],MATCH(TournamentData[[#This Row],[Team '#]],InnovationProjectResults[Team '#],0)))</f>
        <v>0</v>
      </c>
      <c r="T3" s="75">
        <f>IF(ISNA(INDEX(RobotDesignResults[Robot Design Score],MATCH(TournamentData[[#This Row],[Team '#]],RobotDesignResults[Team '#],0))),0,INDEX(RobotDesignResults[Robot Design Score],MATCH(TournamentData[[#This Row],[Team '#]],RobotDesignResults[Team '#],0)))</f>
        <v>0</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 s="74" t="e">
        <f>IF(U3,_xlfn.RANK.EQ(U3,U$3:U$3,0),NumberOfTeams)</f>
        <v>#NAME?</v>
      </c>
      <c r="W3" s="74"/>
    </row>
  </sheetData>
  <sheetProtection selectLockedCells="1" sort="0" autoFilter="0"/>
  <protectedRanges>
    <protectedRange sqref="A2:W3" name="EditRar"/>
  </protectedRanges>
  <mergeCells count="5">
    <mergeCell ref="K1:M1"/>
    <mergeCell ref="R1:V1"/>
    <mergeCell ref="A1:C1"/>
    <mergeCell ref="D1:J1"/>
    <mergeCell ref="N1:O1"/>
  </mergeCells>
  <conditionalFormatting sqref="R3:W3 A3:P3">
    <cfRule type="expression" dxfId="149" priority="17">
      <formula>ROW()-NumberOfTeams=2</formula>
    </cfRule>
  </conditionalFormatting>
  <dataValidations count="2">
    <dataValidation type="list" allowBlank="1" showInputMessage="1" showErrorMessage="1" sqref="Q3" xr:uid="{2C2099C3-6EB6-4930-811F-FE6BE23CA489}">
      <formula1>"Yes,No,Alt"</formula1>
    </dataValidation>
    <dataValidation type="list" allowBlank="1" showInputMessage="1" showErrorMessage="1" sqref="P3" xr:uid="{00000000-0002-0000-0300-000001000000}">
      <formula1>Awards</formula1>
    </dataValidation>
  </dataValidations>
  <pageMargins left="0.7" right="0.7" top="0.75" bottom="0.75" header="0.3" footer="0.3"/>
  <pageSetup scale="39" fitToHeight="0" orientation="landscape"/>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F2"/>
  <sheetViews>
    <sheetView zoomScaleNormal="100" workbookViewId="0">
      <pane ySplit="1" topLeftCell="A2" activePane="bottomLeft" state="frozen"/>
      <selection pane="bottomLeft"/>
    </sheetView>
  </sheetViews>
  <sheetFormatPr defaultColWidth="8.85546875" defaultRowHeight="30" customHeight="1" x14ac:dyDescent="0.25"/>
  <cols>
    <col min="1" max="1" width="16.7109375" style="38" customWidth="1"/>
    <col min="2" max="2" width="32.7109375" style="38" customWidth="1"/>
    <col min="3" max="5" width="7.42578125" style="38" customWidth="1"/>
    <col min="6" max="6" width="10.42578125" style="42" customWidth="1"/>
    <col min="7" max="10" width="8.85546875" style="5" customWidth="1"/>
    <col min="11" max="16384" width="8.85546875" style="5"/>
  </cols>
  <sheetData>
    <row r="1" spans="1:6" s="40" customFormat="1" ht="150" customHeight="1" x14ac:dyDescent="0.25">
      <c r="A1" s="57" t="s">
        <v>125</v>
      </c>
      <c r="B1" s="57" t="s">
        <v>13</v>
      </c>
      <c r="C1" s="64" t="s">
        <v>42</v>
      </c>
      <c r="D1" s="64" t="s">
        <v>43</v>
      </c>
      <c r="E1" s="64" t="s">
        <v>44</v>
      </c>
      <c r="F1" s="58" t="s">
        <v>45</v>
      </c>
    </row>
    <row r="2" spans="1:6" ht="21" customHeight="1" x14ac:dyDescent="0.25">
      <c r="A2" s="68"/>
      <c r="B2" s="96" t="e">
        <f>INDEX(OfficialTeamList[Team Name],MATCH(RobotGameScores[[#This Row],[Team '#]], OfficialTeamList[Team '#],0))</f>
        <v>#N/A</v>
      </c>
      <c r="C2" s="69"/>
      <c r="D2" s="69"/>
      <c r="E2" s="69"/>
      <c r="F2" s="77">
        <f>MAX(RobotGameScores[[#This Row],[Robot Game 1 Score]:[Robot Game 3 Score]])</f>
        <v>0</v>
      </c>
    </row>
  </sheetData>
  <sheetProtection selectLockedCells="1" sort="0" autoFilter="0"/>
  <protectedRanges>
    <protectedRange sqref="A1:F2" name="EditRgScores"/>
  </protectedRanges>
  <pageMargins left="0.7" right="0.7" top="0.75" bottom="0.75" header="0.3" footer="0.3"/>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016DB6"/>
    <pageSetUpPr fitToPage="1"/>
  </sheetPr>
  <dimension ref="A1:P2"/>
  <sheetViews>
    <sheetView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39" customWidth="1"/>
  </cols>
  <sheetData>
    <row r="1" spans="1:15" ht="150" customHeight="1" x14ac:dyDescent="0.25">
      <c r="A1" s="55" t="s">
        <v>125</v>
      </c>
      <c r="B1" s="55" t="s">
        <v>96</v>
      </c>
      <c r="C1" s="56" t="s">
        <v>13</v>
      </c>
      <c r="D1" s="63" t="s">
        <v>46</v>
      </c>
      <c r="E1" s="63" t="s">
        <v>47</v>
      </c>
      <c r="F1" s="63" t="s">
        <v>48</v>
      </c>
      <c r="G1" s="63" t="s">
        <v>49</v>
      </c>
      <c r="H1" s="63" t="s">
        <v>50</v>
      </c>
      <c r="I1" s="63" t="s">
        <v>51</v>
      </c>
      <c r="J1" s="63" t="s">
        <v>52</v>
      </c>
      <c r="K1" s="63" t="s">
        <v>53</v>
      </c>
      <c r="L1" s="63" t="s">
        <v>54</v>
      </c>
      <c r="M1" s="63" t="s">
        <v>55</v>
      </c>
      <c r="N1" s="93" t="s">
        <v>56</v>
      </c>
      <c r="O1" s="94" t="s">
        <v>31</v>
      </c>
    </row>
    <row r="2" spans="1:15" ht="21" customHeight="1" x14ac:dyDescent="0.25">
      <c r="A2" s="68"/>
      <c r="B2" s="68" t="e">
        <f>INDEX(OfficialTeamList[Pod Number],MATCH(InnovationProjectResults[[#This Row],[Team '#]], OfficialTeamList[Team '#],0))</f>
        <v>#N/A</v>
      </c>
      <c r="C2" s="96" t="e">
        <f>INDEX(OfficialTeamList[Team Name],MATCH(InnovationProjectResults[[#This Row],[Team '#]], OfficialTeamList[Team '#],0))</f>
        <v>#N/A</v>
      </c>
      <c r="D2" s="69"/>
      <c r="E2" s="69"/>
      <c r="F2" s="69"/>
      <c r="G2" s="69"/>
      <c r="H2" s="69"/>
      <c r="I2" s="69"/>
      <c r="J2" s="69"/>
      <c r="K2" s="69"/>
      <c r="L2" s="69"/>
      <c r="M2" s="69"/>
      <c r="N2" s="77">
        <f>SUM(InnovationProjectResults[[#This Row],[Identify - Define]:[Communicate - Fun (CV)]])</f>
        <v>0</v>
      </c>
      <c r="O2" s="70">
        <f>_xlfn.RANK.EQ(InnovationProjectResults[[#This Row],[Innovation Project Score]],InnovationProjectResults[Innovation Project Score],0)</f>
        <v>1</v>
      </c>
    </row>
  </sheetData>
  <sheetProtection selectLockedCells="1" sort="0" autoFilter="0"/>
  <protectedRanges>
    <protectedRange sqref="A1:O2" name="EditIpInput"/>
  </protectedRanges>
  <printOptions horizontalCentered="1"/>
  <pageMargins left="0.25" right="0.25" top="0.75" bottom="0.75" header="0.3" footer="0.3"/>
  <pageSetup scale="69" fitToHeight="0" orientation="portrait" horizontalDpi="1200" verticalDpi="1200"/>
  <headerFooter>
    <oddHeader>&amp;C&amp;"-,Bold"&amp;36 Inovation Project Input</oddHeader>
  </headerFooter>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92D050"/>
    <pageSetUpPr fitToPage="1"/>
  </sheetPr>
  <dimension ref="A1:P2"/>
  <sheetViews>
    <sheetView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39" customWidth="1"/>
  </cols>
  <sheetData>
    <row r="1" spans="1:15" ht="150" customHeight="1" x14ac:dyDescent="0.25">
      <c r="A1" s="55" t="s">
        <v>125</v>
      </c>
      <c r="B1" s="55" t="s">
        <v>96</v>
      </c>
      <c r="C1" s="56" t="s">
        <v>13</v>
      </c>
      <c r="D1" s="62" t="s">
        <v>57</v>
      </c>
      <c r="E1" s="62" t="s">
        <v>47</v>
      </c>
      <c r="F1" s="62" t="s">
        <v>58</v>
      </c>
      <c r="G1" s="62" t="s">
        <v>59</v>
      </c>
      <c r="H1" s="62" t="s">
        <v>60</v>
      </c>
      <c r="I1" s="62" t="s">
        <v>61</v>
      </c>
      <c r="J1" s="62" t="s">
        <v>62</v>
      </c>
      <c r="K1" s="62" t="s">
        <v>63</v>
      </c>
      <c r="L1" s="62" t="s">
        <v>54</v>
      </c>
      <c r="M1" s="62" t="s">
        <v>55</v>
      </c>
      <c r="N1" s="60" t="s">
        <v>39</v>
      </c>
      <c r="O1" s="61" t="s">
        <v>32</v>
      </c>
    </row>
    <row r="2" spans="1:15" ht="21" customHeight="1" x14ac:dyDescent="0.25">
      <c r="A2" s="68"/>
      <c r="B2" s="68" t="e">
        <f>INDEX(OfficialTeamList[Pod Number],MATCH(RobotDesignResults[[#This Row],[Team '#]], OfficialTeamList[Team '#],0))</f>
        <v>#N/A</v>
      </c>
      <c r="C2" s="96" t="e">
        <f>INDEX(OfficialTeamList[Team Name],MATCH(RobotDesignResults[[#This Row],[Team '#]], OfficialTeamList[Team '#],0))</f>
        <v>#N/A</v>
      </c>
      <c r="D2" s="69"/>
      <c r="E2" s="69"/>
      <c r="F2" s="69"/>
      <c r="G2" s="69"/>
      <c r="H2" s="69"/>
      <c r="I2" s="69"/>
      <c r="J2" s="69"/>
      <c r="K2" s="69"/>
      <c r="L2" s="69"/>
      <c r="M2" s="69"/>
      <c r="N2" s="77">
        <f>SUM(RobotDesignResults[[#This Row],[Identify - Strategy]:[Communicate - Fun (CV)]])</f>
        <v>0</v>
      </c>
      <c r="O2" s="70">
        <f>_xlfn.RANK.EQ(RobotDesignResults[[#This Row],[Robot Design Score]],RobotDesignResults[Robot Design Score],0)</f>
        <v>1</v>
      </c>
    </row>
  </sheetData>
  <sheetProtection selectLockedCells="1" sort="0" autoFilter="0"/>
  <protectedRanges>
    <protectedRange sqref="A1:O2" name="EditRdInput"/>
  </protectedRanges>
  <printOptions horizontalCentered="1"/>
  <pageMargins left="0.25" right="0.25" top="0.75" bottom="0.75" header="0.3" footer="0.3"/>
  <pageSetup scale="69" fitToHeight="0" orientation="portrait" horizontalDpi="1200" verticalDpi="1200"/>
  <headerFooter>
    <oddHeader>&amp;C&amp;"-,Bold"&amp;36 Robot Design Input</oddHeader>
  </headerFooter>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FF0000"/>
    <pageSetUpPr fitToPage="1"/>
  </sheetPr>
  <dimension ref="A1:T2"/>
  <sheetViews>
    <sheetView zoomScaleNormal="100" zoomScalePageLayoutView="140" workbookViewId="0">
      <pane ySplit="1" topLeftCell="A2" activePane="bottomLeft" state="frozen"/>
      <selection pane="bottomLeft"/>
    </sheetView>
  </sheetViews>
  <sheetFormatPr defaultColWidth="8.42578125" defaultRowHeight="30" customHeight="1" x14ac:dyDescent="0.25"/>
  <cols>
    <col min="1" max="1" width="16.7109375" customWidth="1"/>
    <col min="2" max="2" width="8.7109375" customWidth="1"/>
    <col min="3" max="3" width="32.7109375" customWidth="1"/>
    <col min="4" max="4" width="7" style="41" customWidth="1"/>
    <col min="5" max="6" width="5.85546875" style="41" customWidth="1"/>
    <col min="7" max="7" width="6.28515625" style="41" customWidth="1"/>
    <col min="8" max="13" width="5.85546875" style="41" customWidth="1"/>
    <col min="14" max="14" width="8.28515625" bestFit="1" customWidth="1"/>
    <col min="15" max="18" width="7.42578125" customWidth="1"/>
    <col min="19" max="19" width="10.42578125" customWidth="1"/>
    <col min="20" max="20" width="15.42578125" customWidth="1"/>
  </cols>
  <sheetData>
    <row r="1" spans="1:20" ht="150" customHeight="1" x14ac:dyDescent="0.25">
      <c r="A1" s="55" t="s">
        <v>125</v>
      </c>
      <c r="B1" s="55" t="s">
        <v>96</v>
      </c>
      <c r="C1" s="56" t="s">
        <v>13</v>
      </c>
      <c r="D1" s="65" t="s">
        <v>64</v>
      </c>
      <c r="E1" s="65" t="s">
        <v>65</v>
      </c>
      <c r="F1" s="65" t="s">
        <v>66</v>
      </c>
      <c r="G1" s="65" t="s">
        <v>67</v>
      </c>
      <c r="H1" s="65" t="s">
        <v>68</v>
      </c>
      <c r="I1" s="65" t="s">
        <v>69</v>
      </c>
      <c r="J1" s="65" t="s">
        <v>70</v>
      </c>
      <c r="K1" s="65" t="s">
        <v>71</v>
      </c>
      <c r="L1" s="65" t="s">
        <v>72</v>
      </c>
      <c r="M1" s="65" t="s">
        <v>73</v>
      </c>
      <c r="N1" s="66" t="s">
        <v>74</v>
      </c>
      <c r="O1" s="66" t="s">
        <v>75</v>
      </c>
      <c r="P1" s="66" t="s">
        <v>76</v>
      </c>
      <c r="Q1" s="66" t="s">
        <v>77</v>
      </c>
      <c r="R1" s="67" t="s">
        <v>78</v>
      </c>
      <c r="S1" s="67" t="s">
        <v>37</v>
      </c>
      <c r="T1" s="67" t="s">
        <v>30</v>
      </c>
    </row>
    <row r="2" spans="1:20" ht="21" customHeight="1" x14ac:dyDescent="0.25">
      <c r="A2" s="68"/>
      <c r="B2" s="68" t="e">
        <f>INDEX(OfficialTeamList[Pod Number],MATCH(CoreValuesResults[[#This Row],[Team '#]], OfficialTeamList[Team '#],0))</f>
        <v>#N/A</v>
      </c>
      <c r="C2" s="96" t="e">
        <f>INDEX(OfficialTeamList[Team Name],MATCH(CoreValuesResults[[#This Row],[Team '#]], OfficialTeamList[Team '#],0))</f>
        <v>#N/A</v>
      </c>
      <c r="D2" s="71" t="e">
        <f>INDEX(InnovationProjectResults[Identify - Research (CV)],MATCH(CoreValuesResults[[#This Row],[Team '#]],InnovationProjectResults[Team '#],0))</f>
        <v>#N/A</v>
      </c>
      <c r="E2" s="71" t="e">
        <f>INDEX(InnovationProjectResults[Design - Teamwork (CV)],MATCH(CoreValuesResults[[#This Row],[Team '#]],InnovationProjectResults[Team '#],0))</f>
        <v>#N/A</v>
      </c>
      <c r="F2" s="71" t="e">
        <f>INDEX(InnovationProjectResults[Create - Innovation (CV)],MATCH(CoreValuesResults[[#This Row],[Team '#]],InnovationProjectResults[Team '#],0))</f>
        <v>#N/A</v>
      </c>
      <c r="G2" s="71" t="e">
        <f>INDEX(InnovationProjectResults[Communicate - Impact (CV)],MATCH(CoreValuesResults[[#This Row],[Team '#]],InnovationProjectResults[Team '#],0))</f>
        <v>#N/A</v>
      </c>
      <c r="H2" s="71" t="e">
        <f>INDEX(InnovationProjectResults[Communicate - Fun (CV)],MATCH(CoreValuesResults[[#This Row],[Team '#]],InnovationProjectResults[Team '#],0))</f>
        <v>#N/A</v>
      </c>
      <c r="I2" s="71" t="e">
        <f>INDEX(RobotDesignResults[Identify - Research (CV)],MATCH(CoreValuesResults[[#This Row],[Team '#]],RobotDesignResults[Team '#],0))</f>
        <v>#N/A</v>
      </c>
      <c r="J2" s="71" t="e">
        <f>INDEX(RobotDesignResults[Design - Ideas (CV)],MATCH(CoreValuesResults[[#This Row],[Team '#]],RobotDesignResults[Team '#],0))</f>
        <v>#N/A</v>
      </c>
      <c r="K2" s="71" t="e">
        <f>INDEX(RobotDesignResults[Iterate - Improvements (CV)],MATCH(CoreValuesResults[[#This Row],[Team '#]],RobotDesignResults[Team '#],0))</f>
        <v>#N/A</v>
      </c>
      <c r="L2" s="71" t="e">
        <f>INDEX(RobotDesignResults[Communicate - Impact (CV)],MATCH(CoreValuesResults[[#This Row],[Team '#]],RobotDesignResults[Team '#],0))</f>
        <v>#N/A</v>
      </c>
      <c r="M2" s="71" t="e">
        <f>INDEX(RobotDesignResults[Communicate - Fun (CV)],MATCH(CoreValuesResults[[#This Row],[Team '#]],RobotDesignResults[Team '#],0))</f>
        <v>#N/A</v>
      </c>
      <c r="N2" s="78"/>
      <c r="O2" s="78"/>
      <c r="P2" s="78"/>
      <c r="Q2" s="68">
        <f>SUM(CoreValuesResults[[#This Row],[Gracious Professionalism 1]:[Gracious Professionalism 3]])</f>
        <v>0</v>
      </c>
      <c r="R2" s="68">
        <f t="shared" ref="R2" si="0">SUM(N2:Q2)</f>
        <v>0</v>
      </c>
      <c r="S2" s="77" t="e">
        <f>SUM(CoreValuesResults[[#This Row],[Identify - Research (CV-IP)]:[Communicate - Fun (CV-RD)]],CoreValuesResults[[#This Row],[Gracious Professionalism Score]])</f>
        <v>#N/A</v>
      </c>
      <c r="T2" s="70" t="e">
        <f>_xlfn.RANK.EQ(CoreValuesResults[[#This Row],[Core Values Score]],CoreValuesResults[Core Values Score],0)</f>
        <v>#N/A</v>
      </c>
    </row>
  </sheetData>
  <sheetProtection selectLockedCells="1" sort="0" autoFilter="0"/>
  <protectedRanges>
    <protectedRange sqref="A1:T2" name="EditCvInput"/>
  </protectedRanges>
  <printOptions horizontalCentered="1"/>
  <pageMargins left="0.25" right="0.25" top="0.75" bottom="0.75" header="0.3" footer="0.3"/>
  <pageSetup scale="50" fitToHeight="0" orientation="portrait" horizontalDpi="1200" verticalDpi="1200"/>
  <headerFooter>
    <oddHeader>&amp;C&amp;"-,Bold"&amp;36 Core Values Input</oddHeader>
  </headerFooter>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H61"/>
  <sheetViews>
    <sheetView workbookViewId="0">
      <selection activeCell="E1" sqref="E1"/>
    </sheetView>
  </sheetViews>
  <sheetFormatPr defaultColWidth="10.85546875" defaultRowHeight="15" x14ac:dyDescent="0.25"/>
  <sheetData>
    <row r="1" spans="1:8" x14ac:dyDescent="0.25">
      <c r="A1" s="26" t="s">
        <v>79</v>
      </c>
      <c r="B1" s="26" t="s">
        <v>80</v>
      </c>
      <c r="C1" s="26" t="s">
        <v>81</v>
      </c>
      <c r="D1" s="26">
        <v>1</v>
      </c>
      <c r="E1" s="26">
        <v>2</v>
      </c>
      <c r="F1" s="26">
        <v>3</v>
      </c>
      <c r="G1" s="26">
        <v>4</v>
      </c>
      <c r="H1" s="26">
        <v>5</v>
      </c>
    </row>
    <row r="2" spans="1:8" x14ac:dyDescent="0.25">
      <c r="A2" s="26"/>
      <c r="B2" s="26"/>
      <c r="C2" s="26"/>
      <c r="D2" s="26"/>
      <c r="E2" s="26"/>
      <c r="F2" s="26"/>
      <c r="G2" s="26"/>
      <c r="H2" s="26"/>
    </row>
    <row r="3" spans="1:8" x14ac:dyDescent="0.25">
      <c r="A3" s="26"/>
      <c r="B3" s="26"/>
      <c r="C3" s="26"/>
      <c r="D3" s="26"/>
      <c r="E3" s="26"/>
      <c r="F3" s="26"/>
      <c r="G3" s="26"/>
      <c r="H3" s="26"/>
    </row>
    <row r="4" spans="1:8" x14ac:dyDescent="0.25">
      <c r="A4" s="26"/>
      <c r="B4" s="26"/>
      <c r="C4" s="26"/>
      <c r="D4" s="26"/>
      <c r="E4" s="26"/>
      <c r="F4" s="26"/>
      <c r="G4" s="26"/>
      <c r="H4" s="26"/>
    </row>
    <row r="5" spans="1:8" x14ac:dyDescent="0.25">
      <c r="A5" s="26"/>
      <c r="B5" s="26"/>
      <c r="C5" s="26"/>
      <c r="D5" s="26"/>
      <c r="E5" s="26"/>
      <c r="F5" s="26"/>
      <c r="G5" s="26"/>
      <c r="H5" s="26"/>
    </row>
    <row r="6" spans="1:8" x14ac:dyDescent="0.25">
      <c r="A6" s="26"/>
      <c r="B6" s="26"/>
      <c r="C6" s="26"/>
      <c r="D6" s="26"/>
      <c r="E6" s="26"/>
      <c r="F6" s="26"/>
      <c r="G6" s="26"/>
      <c r="H6" s="26"/>
    </row>
    <row r="7" spans="1:8" x14ac:dyDescent="0.25">
      <c r="A7" s="26"/>
      <c r="B7" s="26"/>
      <c r="C7" s="26"/>
      <c r="D7" s="26"/>
      <c r="E7" s="26"/>
      <c r="F7" s="26"/>
      <c r="G7" s="26"/>
      <c r="H7" s="26"/>
    </row>
    <row r="8" spans="1:8" x14ac:dyDescent="0.25">
      <c r="A8" s="26"/>
      <c r="B8" s="26"/>
      <c r="C8" s="26"/>
      <c r="D8" s="26"/>
      <c r="E8" s="26"/>
      <c r="F8" s="26"/>
      <c r="G8" s="26"/>
      <c r="H8" s="26"/>
    </row>
    <row r="9" spans="1:8" x14ac:dyDescent="0.25">
      <c r="A9" s="26"/>
      <c r="B9" s="26"/>
      <c r="C9" s="26"/>
      <c r="D9" s="26"/>
      <c r="E9" s="26"/>
      <c r="F9" s="26"/>
      <c r="G9" s="26"/>
      <c r="H9" s="26"/>
    </row>
    <row r="10" spans="1:8" x14ac:dyDescent="0.25">
      <c r="A10" s="26"/>
      <c r="B10" s="26"/>
      <c r="C10" s="26"/>
      <c r="D10" s="26"/>
      <c r="E10" s="26"/>
      <c r="F10" s="26"/>
      <c r="G10" s="26"/>
      <c r="H10" s="26"/>
    </row>
    <row r="11" spans="1:8" x14ac:dyDescent="0.25">
      <c r="A11" s="26"/>
      <c r="B11" s="26"/>
      <c r="C11" s="26"/>
      <c r="D11" s="26"/>
      <c r="E11" s="26"/>
      <c r="F11" s="26"/>
      <c r="G11" s="26"/>
      <c r="H11" s="26"/>
    </row>
    <row r="12" spans="1:8" x14ac:dyDescent="0.25">
      <c r="A12" s="26"/>
      <c r="B12" s="26"/>
      <c r="C12" s="26"/>
      <c r="D12" s="26"/>
      <c r="E12" s="26"/>
      <c r="F12" s="26"/>
      <c r="G12" s="26"/>
      <c r="H12" s="26"/>
    </row>
    <row r="13" spans="1:8" x14ac:dyDescent="0.25">
      <c r="A13" s="26"/>
      <c r="B13" s="26"/>
      <c r="C13" s="26"/>
      <c r="D13" s="26"/>
      <c r="E13" s="26"/>
      <c r="F13" s="26"/>
      <c r="G13" s="26"/>
      <c r="H13" s="26"/>
    </row>
    <row r="14" spans="1:8" x14ac:dyDescent="0.25">
      <c r="A14" s="26"/>
      <c r="B14" s="26"/>
      <c r="C14" s="26"/>
      <c r="D14" s="26"/>
      <c r="E14" s="26"/>
      <c r="F14" s="26"/>
      <c r="G14" s="26"/>
      <c r="H14" s="26"/>
    </row>
    <row r="15" spans="1:8" x14ac:dyDescent="0.25">
      <c r="A15" s="26"/>
      <c r="B15" s="26"/>
      <c r="C15" s="26"/>
      <c r="D15" s="26"/>
      <c r="E15" s="26"/>
      <c r="F15" s="26"/>
      <c r="G15" s="26"/>
      <c r="H15" s="26"/>
    </row>
    <row r="16" spans="1:8" x14ac:dyDescent="0.25">
      <c r="A16" s="26"/>
      <c r="B16" s="26"/>
      <c r="C16" s="26"/>
      <c r="D16" s="26"/>
      <c r="E16" s="26"/>
      <c r="F16" s="26"/>
      <c r="G16" s="26"/>
      <c r="H16" s="26"/>
    </row>
    <row r="17" spans="1:8" x14ac:dyDescent="0.25">
      <c r="A17" s="26"/>
      <c r="B17" s="26"/>
      <c r="C17" s="26"/>
      <c r="D17" s="26"/>
      <c r="E17" s="26"/>
      <c r="F17" s="26"/>
      <c r="G17" s="26"/>
      <c r="H17" s="26"/>
    </row>
    <row r="18" spans="1:8" x14ac:dyDescent="0.25">
      <c r="A18" s="26"/>
      <c r="B18" s="26"/>
      <c r="C18" s="26"/>
      <c r="D18" s="26"/>
      <c r="E18" s="26"/>
      <c r="F18" s="26"/>
      <c r="G18" s="26"/>
      <c r="H18" s="26"/>
    </row>
    <row r="19" spans="1:8" x14ac:dyDescent="0.25">
      <c r="A19" s="26"/>
      <c r="B19" s="26"/>
      <c r="C19" s="26"/>
      <c r="D19" s="26"/>
      <c r="E19" s="26"/>
      <c r="F19" s="26"/>
      <c r="G19" s="26"/>
      <c r="H19" s="26"/>
    </row>
    <row r="20" spans="1:8" x14ac:dyDescent="0.25">
      <c r="A20" s="26"/>
      <c r="B20" s="26"/>
      <c r="C20" s="26"/>
      <c r="D20" s="26"/>
      <c r="E20" s="26"/>
      <c r="F20" s="26"/>
      <c r="G20" s="26"/>
      <c r="H20" s="26"/>
    </row>
    <row r="21" spans="1:8" x14ac:dyDescent="0.25">
      <c r="A21" s="26"/>
      <c r="B21" s="26"/>
      <c r="C21" s="26"/>
      <c r="D21" s="26"/>
      <c r="E21" s="26"/>
      <c r="F21" s="26"/>
      <c r="G21" s="26"/>
      <c r="H21" s="26"/>
    </row>
    <row r="22" spans="1:8" x14ac:dyDescent="0.25">
      <c r="A22" s="26"/>
      <c r="B22" s="26"/>
      <c r="C22" s="26"/>
      <c r="D22" s="26"/>
      <c r="E22" s="26"/>
      <c r="F22" s="26"/>
      <c r="G22" s="26"/>
      <c r="H22" s="26"/>
    </row>
    <row r="23" spans="1:8" x14ac:dyDescent="0.25">
      <c r="A23" s="26"/>
      <c r="B23" s="26"/>
      <c r="C23" s="26"/>
      <c r="D23" s="26"/>
      <c r="E23" s="26"/>
      <c r="F23" s="26"/>
      <c r="G23" s="26"/>
      <c r="H23" s="26"/>
    </row>
    <row r="24" spans="1:8" x14ac:dyDescent="0.25">
      <c r="A24" s="26"/>
      <c r="B24" s="26"/>
      <c r="C24" s="26"/>
      <c r="D24" s="26"/>
      <c r="E24" s="26"/>
      <c r="F24" s="26"/>
      <c r="G24" s="26"/>
      <c r="H24" s="26"/>
    </row>
    <row r="25" spans="1:8" x14ac:dyDescent="0.25">
      <c r="A25" s="26"/>
      <c r="B25" s="26"/>
      <c r="C25" s="26"/>
      <c r="D25" s="26"/>
      <c r="E25" s="26"/>
      <c r="F25" s="26"/>
      <c r="G25" s="26"/>
      <c r="H25" s="26"/>
    </row>
    <row r="26" spans="1:8" x14ac:dyDescent="0.25">
      <c r="A26" s="26"/>
      <c r="B26" s="26"/>
      <c r="C26" s="26"/>
      <c r="D26" s="26"/>
      <c r="E26" s="26"/>
      <c r="F26" s="26"/>
      <c r="G26" s="26"/>
      <c r="H26" s="26"/>
    </row>
    <row r="27" spans="1:8" x14ac:dyDescent="0.25">
      <c r="A27" s="26"/>
      <c r="B27" s="26"/>
      <c r="C27" s="26"/>
      <c r="D27" s="26"/>
      <c r="E27" s="26"/>
      <c r="F27" s="26"/>
      <c r="G27" s="26"/>
      <c r="H27" s="26"/>
    </row>
    <row r="28" spans="1:8" x14ac:dyDescent="0.25">
      <c r="A28" s="26"/>
      <c r="B28" s="26"/>
      <c r="C28" s="26"/>
      <c r="D28" s="26"/>
      <c r="E28" s="26"/>
      <c r="F28" s="26"/>
      <c r="G28" s="26"/>
      <c r="H28" s="26"/>
    </row>
    <row r="29" spans="1:8" x14ac:dyDescent="0.25">
      <c r="A29" s="26"/>
      <c r="B29" s="26"/>
      <c r="C29" s="26"/>
      <c r="D29" s="26"/>
      <c r="E29" s="26"/>
      <c r="F29" s="26"/>
      <c r="G29" s="26"/>
      <c r="H29" s="26"/>
    </row>
    <row r="30" spans="1:8" x14ac:dyDescent="0.25">
      <c r="A30" s="26"/>
      <c r="B30" s="26"/>
      <c r="C30" s="26"/>
      <c r="D30" s="26"/>
      <c r="E30" s="26"/>
      <c r="F30" s="26"/>
      <c r="G30" s="26"/>
      <c r="H30" s="26"/>
    </row>
    <row r="31" spans="1:8" x14ac:dyDescent="0.25">
      <c r="A31" s="26"/>
      <c r="B31" s="26"/>
      <c r="C31" s="26"/>
      <c r="D31" s="26"/>
      <c r="E31" s="26"/>
      <c r="F31" s="26"/>
      <c r="G31" s="26"/>
      <c r="H31" s="26"/>
    </row>
    <row r="32" spans="1:8" x14ac:dyDescent="0.25">
      <c r="A32" s="26"/>
      <c r="B32" s="26"/>
      <c r="C32" s="26"/>
      <c r="D32" s="26"/>
      <c r="E32" s="26"/>
      <c r="F32" s="26"/>
      <c r="G32" s="26"/>
      <c r="H32" s="26"/>
    </row>
    <row r="33" spans="1:8" x14ac:dyDescent="0.25">
      <c r="A33" s="26"/>
      <c r="B33" s="26"/>
      <c r="C33" s="26"/>
      <c r="D33" s="26"/>
      <c r="E33" s="26"/>
      <c r="F33" s="26"/>
      <c r="G33" s="26"/>
      <c r="H33" s="26"/>
    </row>
    <row r="34" spans="1:8" x14ac:dyDescent="0.25">
      <c r="A34" s="26"/>
      <c r="B34" s="26"/>
      <c r="C34" s="26"/>
      <c r="D34" s="26"/>
      <c r="E34" s="26"/>
      <c r="F34" s="26"/>
      <c r="G34" s="26"/>
      <c r="H34" s="26"/>
    </row>
    <row r="35" spans="1:8" x14ac:dyDescent="0.25">
      <c r="A35" s="26"/>
      <c r="B35" s="26"/>
      <c r="C35" s="26"/>
      <c r="D35" s="26"/>
      <c r="E35" s="26"/>
      <c r="F35" s="26"/>
      <c r="G35" s="26"/>
      <c r="H35" s="26"/>
    </row>
    <row r="36" spans="1:8" x14ac:dyDescent="0.25">
      <c r="A36" s="26"/>
      <c r="B36" s="26"/>
      <c r="C36" s="26"/>
      <c r="D36" s="26"/>
      <c r="E36" s="26"/>
      <c r="F36" s="26"/>
      <c r="G36" s="26"/>
      <c r="H36" s="26"/>
    </row>
    <row r="37" spans="1:8" x14ac:dyDescent="0.25">
      <c r="A37" s="26"/>
      <c r="B37" s="26"/>
      <c r="C37" s="26"/>
      <c r="D37" s="26"/>
      <c r="E37" s="26"/>
      <c r="F37" s="26"/>
      <c r="G37" s="26"/>
      <c r="H37" s="26"/>
    </row>
    <row r="38" spans="1:8" x14ac:dyDescent="0.25">
      <c r="A38" s="26"/>
      <c r="B38" s="26"/>
      <c r="C38" s="26"/>
      <c r="D38" s="26"/>
      <c r="E38" s="26"/>
      <c r="F38" s="26"/>
      <c r="G38" s="26"/>
      <c r="H38" s="26"/>
    </row>
    <row r="39" spans="1:8" x14ac:dyDescent="0.25">
      <c r="A39" s="26"/>
      <c r="B39" s="26"/>
      <c r="C39" s="26"/>
      <c r="D39" s="26"/>
      <c r="E39" s="26"/>
      <c r="F39" s="26"/>
      <c r="G39" s="26"/>
      <c r="H39" s="26"/>
    </row>
    <row r="40" spans="1:8" x14ac:dyDescent="0.25">
      <c r="A40" s="26"/>
      <c r="B40" s="26"/>
      <c r="C40" s="26"/>
      <c r="D40" s="26"/>
      <c r="E40" s="26"/>
      <c r="F40" s="26"/>
      <c r="G40" s="26"/>
      <c r="H40" s="26"/>
    </row>
    <row r="41" spans="1:8" x14ac:dyDescent="0.25">
      <c r="A41" s="26"/>
      <c r="B41" s="26"/>
      <c r="C41" s="26"/>
      <c r="D41" s="26"/>
      <c r="E41" s="26"/>
      <c r="F41" s="26"/>
      <c r="G41" s="26"/>
      <c r="H41" s="26"/>
    </row>
    <row r="42" spans="1:8" x14ac:dyDescent="0.25">
      <c r="A42" s="26"/>
      <c r="B42" s="26"/>
      <c r="C42" s="26"/>
      <c r="D42" s="26"/>
      <c r="E42" s="26"/>
      <c r="F42" s="26"/>
      <c r="G42" s="26"/>
      <c r="H42" s="26"/>
    </row>
    <row r="43" spans="1:8" x14ac:dyDescent="0.25">
      <c r="A43" s="26"/>
      <c r="B43" s="26"/>
      <c r="C43" s="26"/>
      <c r="D43" s="26"/>
      <c r="E43" s="26"/>
      <c r="F43" s="26"/>
      <c r="G43" s="26"/>
      <c r="H43" s="26"/>
    </row>
    <row r="44" spans="1:8" x14ac:dyDescent="0.25">
      <c r="A44" s="26"/>
      <c r="B44" s="26"/>
      <c r="C44" s="26"/>
      <c r="D44" s="26"/>
      <c r="E44" s="26"/>
      <c r="F44" s="26"/>
      <c r="G44" s="26"/>
      <c r="H44" s="26"/>
    </row>
    <row r="45" spans="1:8" x14ac:dyDescent="0.25">
      <c r="A45" s="26"/>
      <c r="B45" s="26"/>
      <c r="C45" s="26"/>
      <c r="D45" s="26"/>
      <c r="E45" s="26"/>
      <c r="F45" s="26"/>
      <c r="G45" s="26"/>
      <c r="H45" s="26"/>
    </row>
    <row r="46" spans="1:8" x14ac:dyDescent="0.25">
      <c r="A46" s="26"/>
      <c r="B46" s="26"/>
      <c r="C46" s="26"/>
      <c r="D46" s="26"/>
      <c r="E46" s="26"/>
      <c r="F46" s="26"/>
      <c r="G46" s="26"/>
      <c r="H46" s="26"/>
    </row>
    <row r="47" spans="1:8" x14ac:dyDescent="0.25">
      <c r="A47" s="26"/>
      <c r="B47" s="26"/>
      <c r="C47" s="26"/>
      <c r="D47" s="26"/>
      <c r="E47" s="26"/>
      <c r="F47" s="26"/>
      <c r="G47" s="26"/>
      <c r="H47" s="26"/>
    </row>
    <row r="48" spans="1:8" x14ac:dyDescent="0.25">
      <c r="A48" s="26"/>
      <c r="B48" s="26"/>
      <c r="C48" s="26"/>
      <c r="D48" s="26"/>
      <c r="E48" s="26"/>
      <c r="F48" s="26"/>
      <c r="G48" s="26"/>
      <c r="H48" s="26"/>
    </row>
    <row r="49" spans="1:8" x14ac:dyDescent="0.25">
      <c r="A49" s="26"/>
      <c r="B49" s="26"/>
      <c r="C49" s="26"/>
      <c r="D49" s="26"/>
      <c r="E49" s="26"/>
      <c r="F49" s="26"/>
      <c r="G49" s="26"/>
      <c r="H49" s="26"/>
    </row>
    <row r="50" spans="1:8" x14ac:dyDescent="0.25">
      <c r="A50" s="26"/>
      <c r="B50" s="26"/>
      <c r="C50" s="26"/>
      <c r="D50" s="26"/>
      <c r="E50" s="26"/>
      <c r="F50" s="26"/>
      <c r="G50" s="26"/>
      <c r="H50" s="26"/>
    </row>
    <row r="51" spans="1:8" x14ac:dyDescent="0.25">
      <c r="A51" s="26"/>
      <c r="B51" s="26"/>
      <c r="C51" s="26"/>
      <c r="D51" s="26"/>
      <c r="E51" s="26"/>
      <c r="F51" s="26"/>
      <c r="G51" s="26"/>
      <c r="H51" s="26"/>
    </row>
    <row r="52" spans="1:8" x14ac:dyDescent="0.25">
      <c r="A52" s="26"/>
      <c r="B52" s="26"/>
      <c r="C52" s="26"/>
      <c r="D52" s="26"/>
      <c r="E52" s="26"/>
      <c r="F52" s="26"/>
      <c r="G52" s="26"/>
      <c r="H52" s="26"/>
    </row>
    <row r="53" spans="1:8" x14ac:dyDescent="0.25">
      <c r="A53" s="26"/>
      <c r="B53" s="26"/>
      <c r="C53" s="26"/>
      <c r="D53" s="26"/>
      <c r="E53" s="26"/>
      <c r="F53" s="26"/>
      <c r="G53" s="26"/>
      <c r="H53" s="26"/>
    </row>
    <row r="54" spans="1:8" x14ac:dyDescent="0.25">
      <c r="A54" s="26"/>
      <c r="B54" s="26"/>
      <c r="C54" s="26"/>
      <c r="D54" s="26"/>
      <c r="E54" s="26"/>
      <c r="F54" s="26"/>
      <c r="G54" s="26"/>
      <c r="H54" s="26"/>
    </row>
    <row r="55" spans="1:8" x14ac:dyDescent="0.25">
      <c r="A55" s="26"/>
      <c r="B55" s="26"/>
      <c r="C55" s="26"/>
      <c r="D55" s="26"/>
      <c r="E55" s="26"/>
      <c r="F55" s="26"/>
      <c r="G55" s="26"/>
      <c r="H55" s="26"/>
    </row>
    <row r="56" spans="1:8" x14ac:dyDescent="0.25">
      <c r="A56" s="26"/>
      <c r="B56" s="26"/>
      <c r="C56" s="26"/>
      <c r="D56" s="26"/>
      <c r="E56" s="26"/>
      <c r="F56" s="26"/>
      <c r="G56" s="26"/>
      <c r="H56" s="26"/>
    </row>
    <row r="57" spans="1:8" x14ac:dyDescent="0.25">
      <c r="A57" s="26"/>
      <c r="B57" s="26"/>
      <c r="C57" s="26"/>
      <c r="D57" s="26"/>
      <c r="E57" s="26"/>
      <c r="F57" s="26"/>
      <c r="G57" s="26"/>
      <c r="H57" s="26"/>
    </row>
    <row r="58" spans="1:8" x14ac:dyDescent="0.25">
      <c r="A58" s="26"/>
      <c r="B58" s="26"/>
      <c r="C58" s="26"/>
      <c r="D58" s="26"/>
      <c r="E58" s="26"/>
      <c r="F58" s="26"/>
      <c r="G58" s="26"/>
      <c r="H58" s="26"/>
    </row>
    <row r="59" spans="1:8" x14ac:dyDescent="0.25">
      <c r="A59" s="26"/>
      <c r="B59" s="26"/>
      <c r="C59" s="26"/>
      <c r="D59" s="26"/>
      <c r="E59" s="26"/>
      <c r="F59" s="26"/>
      <c r="G59" s="26"/>
      <c r="H59" s="26"/>
    </row>
    <row r="60" spans="1:8" x14ac:dyDescent="0.25">
      <c r="A60" s="26"/>
      <c r="B60" s="26"/>
      <c r="C60" s="26"/>
      <c r="D60" s="26"/>
      <c r="E60" s="26"/>
      <c r="F60" s="26"/>
      <c r="G60" s="26"/>
      <c r="H60" s="26"/>
    </row>
    <row r="61" spans="1:8" x14ac:dyDescent="0.25">
      <c r="A61" s="26"/>
      <c r="B61" s="26"/>
      <c r="C61" s="26"/>
      <c r="D61" s="26"/>
      <c r="E61" s="26"/>
      <c r="F61" s="26"/>
      <c r="G61" s="26"/>
      <c r="H61" s="26"/>
    </row>
  </sheetData>
  <sheetProtection sort="0" autoFilter="0"/>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1"/>
  </sheetPr>
  <dimension ref="B2:O54"/>
  <sheetViews>
    <sheetView zoomScaleNormal="100" workbookViewId="0">
      <selection activeCell="F18" sqref="F18"/>
    </sheetView>
  </sheetViews>
  <sheetFormatPr defaultColWidth="9.140625" defaultRowHeight="20.25" customHeight="1" x14ac:dyDescent="0.25"/>
  <cols>
    <col min="1" max="1" width="9.140625" style="5" customWidth="1"/>
    <col min="2" max="2" width="15.42578125" style="5" customWidth="1"/>
    <col min="3" max="3" width="45.42578125" style="5" customWidth="1"/>
    <col min="4" max="4" width="17.140625" style="5" customWidth="1"/>
    <col min="5" max="5" width="18.42578125" style="5" customWidth="1"/>
    <col min="6" max="6" width="9.140625" style="5" customWidth="1"/>
    <col min="7" max="7" width="15.42578125" style="5" customWidth="1"/>
    <col min="8" max="8" width="45.42578125" style="5" customWidth="1"/>
    <col min="9" max="9" width="17.140625" style="5" customWidth="1"/>
    <col min="10" max="10" width="18.42578125" style="5" customWidth="1"/>
    <col min="11" max="11" width="9.140625" style="5" customWidth="1"/>
    <col min="12" max="12" width="15.42578125" style="5" customWidth="1"/>
    <col min="13" max="13" width="45.42578125" style="5" customWidth="1"/>
    <col min="14" max="14" width="17.140625" style="5" customWidth="1"/>
    <col min="15" max="15" width="18.42578125" style="5" customWidth="1"/>
    <col min="16" max="19" width="9.140625" style="5" customWidth="1"/>
    <col min="20" max="16384" width="9.140625" style="5"/>
  </cols>
  <sheetData>
    <row r="2" spans="2:10" ht="20.25" customHeight="1" x14ac:dyDescent="0.25">
      <c r="B2" s="5" t="s">
        <v>82</v>
      </c>
      <c r="G2" s="5" t="s">
        <v>83</v>
      </c>
    </row>
    <row r="3" spans="2:10" ht="39.950000000000003" customHeight="1" x14ac:dyDescent="0.25">
      <c r="B3" s="10" t="s">
        <v>12</v>
      </c>
      <c r="C3" s="10" t="s">
        <v>13</v>
      </c>
      <c r="D3" s="11" t="s">
        <v>34</v>
      </c>
      <c r="E3" s="11" t="s">
        <v>84</v>
      </c>
      <c r="G3" s="20" t="s">
        <v>12</v>
      </c>
      <c r="H3" s="20" t="s">
        <v>13</v>
      </c>
      <c r="I3" s="21" t="s">
        <v>34</v>
      </c>
      <c r="J3" s="21" t="s">
        <v>84</v>
      </c>
    </row>
    <row r="4" spans="2:10" ht="20.25" customHeight="1" x14ac:dyDescent="0.25">
      <c r="C4" s="5" t="str">
        <f>IF(ISNA(INDEX(OfficialTeamList[Team Name],MATCH(ChampionsDelib[[#This Row],[Team Number]], OfficialTeamList[Team '#],0))),"",INDEX(OfficialTeamList[Team Name],MATCH(ChampionsDelib[[#This Row],[Team Number]], OfficialTeamList[Team '#],0)))</f>
        <v/>
      </c>
      <c r="D4" s="5" t="e">
        <f>IF(ISNA(INDEX(TournamentData[Champion''s Rank],MATCH(ChampionsDelib[[#This Row],[Team Number]],TournamentData[Team '#],0))),NumberOfTeams+1,INDEX(TournamentData[Champion''s Rank],MATCH(ChampionsDelib[[#This Row],[Team Number]],TournamentData[Team '#],0)))</f>
        <v>#NAME?</v>
      </c>
      <c r="H4" s="5" t="str">
        <f>IF(ISNA(INDEX(OfficialTeamList[Team Name],MATCH(RobotGameDelib[[#This Row],[Team Number]], OfficialTeamList[Team '#],0))),"",INDEX(OfficialTeamList[Team Name],MATCH(RobotGameDelib[[#This Row],[Team Number]], OfficialTeamList[Team '#],0)))</f>
        <v/>
      </c>
      <c r="I4" s="5" t="e">
        <f>IF(ISNA(INDEX(TournamentData[Champion''s Rank],MATCH(RobotGameDelib[[#This Row],[Team Number]],TournamentData[Team '#],0))),NumberOfTeams+1,INDEX(TournamentData[Champion''s Rank],MATCH(RobotGameDelib[[#This Row],[Team Number]],TournamentData[Team '#],0)))</f>
        <v>#NAME?</v>
      </c>
    </row>
    <row r="5" spans="2:10" ht="20.25" customHeight="1" x14ac:dyDescent="0.25">
      <c r="C5" s="5" t="str">
        <f>IF(ISNA(INDEX(OfficialTeamList[Team Name],MATCH(ChampionsDelib[[#This Row],[Team Number]], OfficialTeamList[Team '#],0))),"",INDEX(OfficialTeamList[Team Name],MATCH(ChampionsDelib[[#This Row],[Team Number]], OfficialTeamList[Team '#],0)))</f>
        <v/>
      </c>
      <c r="D5" s="5" t="e">
        <f>IF(ISNA(INDEX(TournamentData[Champion''s Rank],MATCH(ChampionsDelib[[#This Row],[Team Number]],TournamentData[Team '#],0))),NumberOfTeams+1,INDEX(TournamentData[Champion''s Rank],MATCH(ChampionsDelib[[#This Row],[Team Number]],TournamentData[Team '#],0)))</f>
        <v>#NAME?</v>
      </c>
      <c r="H5" s="5" t="str">
        <f>IF(ISNA(INDEX(OfficialTeamList[Team Name],MATCH(RobotGameDelib[[#This Row],[Team Number]], OfficialTeamList[Team '#],0))),"",INDEX(OfficialTeamList[Team Name],MATCH(RobotGameDelib[[#This Row],[Team Number]], OfficialTeamList[Team '#],0)))</f>
        <v/>
      </c>
      <c r="I5" s="5" t="e">
        <f>IF(ISNA(INDEX(TournamentData[Champion''s Rank],MATCH(RobotGameDelib[[#This Row],[Team Number]],TournamentData[Team '#],0))),NumberOfTeams+1,INDEX(TournamentData[Champion''s Rank],MATCH(RobotGameDelib[[#This Row],[Team Number]],TournamentData[Team '#],0)))</f>
        <v>#NAME?</v>
      </c>
    </row>
    <row r="6" spans="2:10" ht="20.25" customHeight="1" x14ac:dyDescent="0.25">
      <c r="C6" s="5" t="str">
        <f>IF(ISNA(INDEX(OfficialTeamList[Team Name],MATCH(ChampionsDelib[[#This Row],[Team Number]], OfficialTeamList[Team '#],0))),"",INDEX(OfficialTeamList[Team Name],MATCH(ChampionsDelib[[#This Row],[Team Number]], OfficialTeamList[Team '#],0)))</f>
        <v/>
      </c>
      <c r="D6" s="5" t="e">
        <f>IF(ISNA(INDEX(TournamentData[Champion''s Rank],MATCH(ChampionsDelib[[#This Row],[Team Number]],TournamentData[Team '#],0))),NumberOfTeams+1,INDEX(TournamentData[Champion''s Rank],MATCH(ChampionsDelib[[#This Row],[Team Number]],TournamentData[Team '#],0)))</f>
        <v>#NAME?</v>
      </c>
      <c r="H6" s="5" t="str">
        <f>IF(ISNA(INDEX(OfficialTeamList[Team Name],MATCH(RobotGameDelib[[#This Row],[Team Number]], OfficialTeamList[Team '#],0))),"",INDEX(OfficialTeamList[Team Name],MATCH(RobotGameDelib[[#This Row],[Team Number]], OfficialTeamList[Team '#],0)))</f>
        <v/>
      </c>
      <c r="I6" s="5" t="e">
        <f>IF(ISNA(INDEX(TournamentData[Champion''s Rank],MATCH(RobotGameDelib[[#This Row],[Team Number]],TournamentData[Team '#],0))),NumberOfTeams+1,INDEX(TournamentData[Champion''s Rank],MATCH(RobotGameDelib[[#This Row],[Team Number]],TournamentData[Team '#],0)))</f>
        <v>#NAME?</v>
      </c>
    </row>
    <row r="7" spans="2:10" ht="20.25" customHeight="1" x14ac:dyDescent="0.25">
      <c r="C7" s="5" t="str">
        <f>IF(ISNA(INDEX(OfficialTeamList[Team Name],MATCH(ChampionsDelib[[#This Row],[Team Number]], OfficialTeamList[Team '#],0))),"",INDEX(OfficialTeamList[Team Name],MATCH(ChampionsDelib[[#This Row],[Team Number]], OfficialTeamList[Team '#],0)))</f>
        <v/>
      </c>
      <c r="D7" s="5" t="e">
        <f>IF(ISNA(INDEX(TournamentData[Champion''s Rank],MATCH(ChampionsDelib[[#This Row],[Team Number]],TournamentData[Team '#],0))),NumberOfTeams+1,INDEX(TournamentData[Champion''s Rank],MATCH(ChampionsDelib[[#This Row],[Team Number]],TournamentData[Team '#],0)))</f>
        <v>#NAME?</v>
      </c>
      <c r="H7" s="5" t="str">
        <f>IF(ISNA(INDEX(OfficialTeamList[Team Name],MATCH(RobotGameDelib[[#This Row],[Team Number]], OfficialTeamList[Team '#],0))),"",INDEX(OfficialTeamList[Team Name],MATCH(RobotGameDelib[[#This Row],[Team Number]], OfficialTeamList[Team '#],0)))</f>
        <v/>
      </c>
      <c r="I7" s="5" t="e">
        <f>IF(ISNA(INDEX(TournamentData[Champion''s Rank],MATCH(RobotGameDelib[[#This Row],[Team Number]],TournamentData[Team '#],0))),NumberOfTeams+1,INDEX(TournamentData[Champion''s Rank],MATCH(RobotGameDelib[[#This Row],[Team Number]],TournamentData[Team '#],0)))</f>
        <v>#NAME?</v>
      </c>
    </row>
    <row r="8" spans="2:10" ht="20.25" customHeight="1" x14ac:dyDescent="0.25">
      <c r="C8" s="5" t="str">
        <f>IF(ISNA(INDEX(OfficialTeamList[Team Name],MATCH(ChampionsDelib[[#This Row],[Team Number]], OfficialTeamList[Team '#],0))),"",INDEX(OfficialTeamList[Team Name],MATCH(ChampionsDelib[[#This Row],[Team Number]], OfficialTeamList[Team '#],0)))</f>
        <v/>
      </c>
      <c r="D8" s="5" t="e">
        <f>IF(ISNA(INDEX(TournamentData[Champion''s Rank],MATCH(ChampionsDelib[[#This Row],[Team Number]],TournamentData[Team '#],0))),NumberOfTeams+1,INDEX(TournamentData[Champion''s Rank],MATCH(ChampionsDelib[[#This Row],[Team Number]],TournamentData[Team '#],0)))</f>
        <v>#NAME?</v>
      </c>
      <c r="H8" s="5" t="str">
        <f>IF(ISNA(INDEX(OfficialTeamList[Team Name],MATCH(RobotGameDelib[[#This Row],[Team Number]], OfficialTeamList[Team '#],0))),"",INDEX(OfficialTeamList[Team Name],MATCH(RobotGameDelib[[#This Row],[Team Number]], OfficialTeamList[Team '#],0)))</f>
        <v/>
      </c>
      <c r="I8" s="5" t="e">
        <f>IF(ISNA(INDEX(TournamentData[Champion''s Rank],MATCH(RobotGameDelib[[#This Row],[Team Number]],TournamentData[Team '#],0))),NumberOfTeams+1,INDEX(TournamentData[Champion''s Rank],MATCH(RobotGameDelib[[#This Row],[Team Number]],TournamentData[Team '#],0)))</f>
        <v>#NAME?</v>
      </c>
    </row>
    <row r="9" spans="2:10" ht="20.25" customHeight="1" x14ac:dyDescent="0.25">
      <c r="C9" s="5" t="str">
        <f>IF(ISNA(INDEX(OfficialTeamList[Team Name],MATCH(ChampionsDelib[[#This Row],[Team Number]], OfficialTeamList[Team '#],0))),"",INDEX(OfficialTeamList[Team Name],MATCH(ChampionsDelib[[#This Row],[Team Number]], OfficialTeamList[Team '#],0)))</f>
        <v/>
      </c>
      <c r="D9" s="5" t="e">
        <f>IF(ISNA(INDEX(TournamentData[Champion''s Rank],MATCH(ChampionsDelib[[#This Row],[Team Number]],TournamentData[Team '#],0))),NumberOfTeams+1,INDEX(TournamentData[Champion''s Rank],MATCH(ChampionsDelib[[#This Row],[Team Number]],TournamentData[Team '#],0)))</f>
        <v>#NAME?</v>
      </c>
      <c r="H9" s="5" t="str">
        <f>IF(ISNA(INDEX(OfficialTeamList[Team Name],MATCH(RobotGameDelib[[#This Row],[Team Number]], OfficialTeamList[Team '#],0))),"",INDEX(OfficialTeamList[Team Name],MATCH(RobotGameDelib[[#This Row],[Team Number]], OfficialTeamList[Team '#],0)))</f>
        <v/>
      </c>
      <c r="I9" s="5" t="e">
        <f>IF(ISNA(INDEX(TournamentData[Champion''s Rank],MATCH(RobotGameDelib[[#This Row],[Team Number]],TournamentData[Team '#],0))),NumberOfTeams+1,INDEX(TournamentData[Champion''s Rank],MATCH(RobotGameDelib[[#This Row],[Team Number]],TournamentData[Team '#],0)))</f>
        <v>#NAME?</v>
      </c>
    </row>
    <row r="10" spans="2:10" ht="20.25" customHeight="1" x14ac:dyDescent="0.25">
      <c r="C10" s="5" t="str">
        <f>IF(ISNA(INDEX(OfficialTeamList[Team Name],MATCH(ChampionsDelib[[#This Row],[Team Number]], OfficialTeamList[Team '#],0))),"",INDEX(OfficialTeamList[Team Name],MATCH(ChampionsDelib[[#This Row],[Team Number]], OfficialTeamList[Team '#],0)))</f>
        <v/>
      </c>
      <c r="D10" s="5" t="e">
        <f>IF(ISNA(INDEX(TournamentData[Champion''s Rank],MATCH(ChampionsDelib[[#This Row],[Team Number]],TournamentData[Team '#],0))),NumberOfTeams+1,INDEX(TournamentData[Champion''s Rank],MATCH(ChampionsDelib[[#This Row],[Team Number]],TournamentData[Team '#],0)))</f>
        <v>#NAME?</v>
      </c>
      <c r="H10" s="5" t="str">
        <f>IF(ISNA(INDEX(OfficialTeamList[Team Name],MATCH(RobotGameDelib[[#This Row],[Team Number]], OfficialTeamList[Team '#],0))),"",INDEX(OfficialTeamList[Team Name],MATCH(RobotGameDelib[[#This Row],[Team Number]], OfficialTeamList[Team '#],0)))</f>
        <v/>
      </c>
      <c r="I10" s="5" t="e">
        <f>IF(ISNA(INDEX(TournamentData[Champion''s Rank],MATCH(RobotGameDelib[[#This Row],[Team Number]],TournamentData[Team '#],0))),NumberOfTeams+1,INDEX(TournamentData[Champion''s Rank],MATCH(RobotGameDelib[[#This Row],[Team Number]],TournamentData[Team '#],0)))</f>
        <v>#NAME?</v>
      </c>
    </row>
    <row r="11" spans="2:10" ht="20.25" customHeight="1" x14ac:dyDescent="0.25">
      <c r="C11" s="5" t="str">
        <f>IF(ISNA(INDEX(OfficialTeamList[Team Name],MATCH(ChampionsDelib[[#This Row],[Team Number]], OfficialTeamList[Team '#],0))),"",INDEX(OfficialTeamList[Team Name],MATCH(ChampionsDelib[[#This Row],[Team Number]], OfficialTeamList[Team '#],0)))</f>
        <v/>
      </c>
      <c r="D11" s="5" t="e">
        <f>IF(ISNA(INDEX(TournamentData[Champion''s Rank],MATCH(ChampionsDelib[[#This Row],[Team Number]],TournamentData[Team '#],0))),NumberOfTeams+1,INDEX(TournamentData[Champion''s Rank],MATCH(ChampionsDelib[[#This Row],[Team Number]],TournamentData[Team '#],0)))</f>
        <v>#NAME?</v>
      </c>
      <c r="H11" s="5" t="str">
        <f>IF(ISNA(INDEX(OfficialTeamList[Team Name],MATCH(RobotGameDelib[[#This Row],[Team Number]], OfficialTeamList[Team '#],0))),"",INDEX(OfficialTeamList[Team Name],MATCH(RobotGameDelib[[#This Row],[Team Number]], OfficialTeamList[Team '#],0)))</f>
        <v/>
      </c>
      <c r="I11" s="5" t="e">
        <f>IF(ISNA(INDEX(TournamentData[Champion''s Rank],MATCH(RobotGameDelib[[#This Row],[Team Number]],TournamentData[Team '#],0))),NumberOfTeams+1,INDEX(TournamentData[Champion''s Rank],MATCH(RobotGameDelib[[#This Row],[Team Number]],TournamentData[Team '#],0)))</f>
        <v>#NAME?</v>
      </c>
    </row>
    <row r="12" spans="2:10" ht="20.25" customHeight="1" x14ac:dyDescent="0.25">
      <c r="C12" s="5" t="str">
        <f>IF(ISNA(INDEX(OfficialTeamList[Team Name],MATCH(ChampionsDelib[[#This Row],[Team Number]], OfficialTeamList[Team '#],0))),"",INDEX(OfficialTeamList[Team Name],MATCH(ChampionsDelib[[#This Row],[Team Number]], OfficialTeamList[Team '#],0)))</f>
        <v/>
      </c>
      <c r="D12" s="5" t="e">
        <f>IF(ISNA(INDEX(TournamentData[Champion''s Rank],MATCH(ChampionsDelib[[#This Row],[Team Number]],TournamentData[Team '#],0))),NumberOfTeams+1,INDEX(TournamentData[Champion''s Rank],MATCH(ChampionsDelib[[#This Row],[Team Number]],TournamentData[Team '#],0)))</f>
        <v>#NAME?</v>
      </c>
      <c r="H12" s="5" t="str">
        <f>IF(ISNA(INDEX(OfficialTeamList[Team Name],MATCH(RobotGameDelib[[#This Row],[Team Number]], OfficialTeamList[Team '#],0))),"",INDEX(OfficialTeamList[Team Name],MATCH(RobotGameDelib[[#This Row],[Team Number]], OfficialTeamList[Team '#],0)))</f>
        <v/>
      </c>
      <c r="I12" s="5" t="e">
        <f>IF(ISNA(INDEX(TournamentData[Champion''s Rank],MATCH(RobotGameDelib[[#This Row],[Team Number]],TournamentData[Team '#],0))),NumberOfTeams+1,INDEX(TournamentData[Champion''s Rank],MATCH(RobotGameDelib[[#This Row],[Team Number]],TournamentData[Team '#],0)))</f>
        <v>#NAME?</v>
      </c>
    </row>
    <row r="13" spans="2:10" ht="20.25" customHeight="1" x14ac:dyDescent="0.25">
      <c r="C13" s="5" t="str">
        <f>IF(ISNA(INDEX(OfficialTeamList[Team Name],MATCH(ChampionsDelib[[#This Row],[Team Number]], OfficialTeamList[Team '#],0))),"",INDEX(OfficialTeamList[Team Name],MATCH(ChampionsDelib[[#This Row],[Team Number]], OfficialTeamList[Team '#],0)))</f>
        <v/>
      </c>
      <c r="D13" s="5" t="e">
        <f>IF(ISNA(INDEX(TournamentData[Champion''s Rank],MATCH(ChampionsDelib[[#This Row],[Team Number]],TournamentData[Team '#],0))),NumberOfTeams+1,INDEX(TournamentData[Champion''s Rank],MATCH(ChampionsDelib[[#This Row],[Team Number]],TournamentData[Team '#],0)))</f>
        <v>#NAME?</v>
      </c>
      <c r="H13" s="5" t="str">
        <f>IF(ISNA(INDEX(OfficialTeamList[Team Name],MATCH(RobotGameDelib[[#This Row],[Team Number]], OfficialTeamList[Team '#],0))),"",INDEX(OfficialTeamList[Team Name],MATCH(RobotGameDelib[[#This Row],[Team Number]], OfficialTeamList[Team '#],0)))</f>
        <v/>
      </c>
      <c r="I13" s="5" t="e">
        <f>IF(ISNA(INDEX(TournamentData[Champion''s Rank],MATCH(RobotGameDelib[[#This Row],[Team Number]],TournamentData[Team '#],0))),NumberOfTeams+1,INDEX(TournamentData[Champion''s Rank],MATCH(RobotGameDelib[[#This Row],[Team Number]],TournamentData[Team '#],0)))</f>
        <v>#NAME?</v>
      </c>
    </row>
    <row r="14" spans="2:10" ht="20.25" customHeight="1" x14ac:dyDescent="0.25">
      <c r="C14" s="5" t="str">
        <f>IF(ISNA(INDEX(OfficialTeamList[Team Name],MATCH(ChampionsDelib[[#This Row],[Team Number]], OfficialTeamList[Team '#],0))),"",INDEX(OfficialTeamList[Team Name],MATCH(ChampionsDelib[[#This Row],[Team Number]], OfficialTeamList[Team '#],0)))</f>
        <v/>
      </c>
      <c r="D14" s="5" t="e">
        <f>IF(ISNA(INDEX(TournamentData[Champion''s Rank],MATCH(ChampionsDelib[[#This Row],[Team Number]],TournamentData[Team '#],0))),NumberOfTeams+1,INDEX(TournamentData[Champion''s Rank],MATCH(ChampionsDelib[[#This Row],[Team Number]],TournamentData[Team '#],0)))</f>
        <v>#NAME?</v>
      </c>
      <c r="H14" s="5" t="str">
        <f>IF(ISNA(INDEX(OfficialTeamList[Team Name],MATCH(RobotGameDelib[[#This Row],[Team Number]], OfficialTeamList[Team '#],0))),"",INDEX(OfficialTeamList[Team Name],MATCH(RobotGameDelib[[#This Row],[Team Number]], OfficialTeamList[Team '#],0)))</f>
        <v/>
      </c>
      <c r="I14" s="5" t="e">
        <f>IF(ISNA(INDEX(TournamentData[Champion''s Rank],MATCH(RobotGameDelib[[#This Row],[Team Number]],TournamentData[Team '#],0))),NumberOfTeams+1,INDEX(TournamentData[Champion''s Rank],MATCH(RobotGameDelib[[#This Row],[Team Number]],TournamentData[Team '#],0)))</f>
        <v>#NAME?</v>
      </c>
    </row>
    <row r="15" spans="2:10" ht="20.25" customHeight="1" x14ac:dyDescent="0.25">
      <c r="C15" s="5" t="str">
        <f>IF(ISNA(INDEX(OfficialTeamList[Team Name],MATCH(ChampionsDelib[[#This Row],[Team Number]], OfficialTeamList[Team '#],0))),"",INDEX(OfficialTeamList[Team Name],MATCH(ChampionsDelib[[#This Row],[Team Number]], OfficialTeamList[Team '#],0)))</f>
        <v/>
      </c>
      <c r="D15" s="5" t="e">
        <f>IF(ISNA(INDEX(TournamentData[Champion''s Rank],MATCH(ChampionsDelib[[#This Row],[Team Number]],TournamentData[Team '#],0))),NumberOfTeams+1,INDEX(TournamentData[Champion''s Rank],MATCH(ChampionsDelib[[#This Row],[Team Number]],TournamentData[Team '#],0)))</f>
        <v>#NAME?</v>
      </c>
      <c r="H15" s="5" t="str">
        <f>IF(ISNA(INDEX(OfficialTeamList[Team Name],MATCH(RobotGameDelib[[#This Row],[Team Number]], OfficialTeamList[Team '#],0))),"",INDEX(OfficialTeamList[Team Name],MATCH(RobotGameDelib[[#This Row],[Team Number]], OfficialTeamList[Team '#],0)))</f>
        <v/>
      </c>
      <c r="I15" s="5" t="e">
        <f>IF(ISNA(INDEX(TournamentData[Champion''s Rank],MATCH(RobotGameDelib[[#This Row],[Team Number]],TournamentData[Team '#],0))),NumberOfTeams+1,INDEX(TournamentData[Champion''s Rank],MATCH(RobotGameDelib[[#This Row],[Team Number]],TournamentData[Team '#],0)))</f>
        <v>#NAME?</v>
      </c>
    </row>
    <row r="16" spans="2:10" ht="20.25" customHeight="1" x14ac:dyDescent="0.25">
      <c r="C16" s="5" t="str">
        <f>IF(ISNA(INDEX(OfficialTeamList[Team Name],MATCH(ChampionsDelib[[#This Row],[Team Number]], OfficialTeamList[Team '#],0))),"",INDEX(OfficialTeamList[Team Name],MATCH(ChampionsDelib[[#This Row],[Team Number]], OfficialTeamList[Team '#],0)))</f>
        <v/>
      </c>
      <c r="D16" s="5" t="e">
        <f>IF(ISNA(INDEX(TournamentData[Champion''s Rank],MATCH(ChampionsDelib[[#This Row],[Team Number]],TournamentData[Team '#],0))),NumberOfTeams+1,INDEX(TournamentData[Champion''s Rank],MATCH(ChampionsDelib[[#This Row],[Team Number]],TournamentData[Team '#],0)))</f>
        <v>#NAME?</v>
      </c>
      <c r="H16" s="5" t="str">
        <f>IF(ISNA(INDEX(OfficialTeamList[Team Name],MATCH(RobotGameDelib[[#This Row],[Team Number]], OfficialTeamList[Team '#],0))),"",INDEX(OfficialTeamList[Team Name],MATCH(RobotGameDelib[[#This Row],[Team Number]], OfficialTeamList[Team '#],0)))</f>
        <v/>
      </c>
      <c r="I16" s="5" t="e">
        <f>IF(ISNA(INDEX(TournamentData[Champion''s Rank],MATCH(RobotGameDelib[[#This Row],[Team Number]],TournamentData[Team '#],0))),NumberOfTeams+1,INDEX(TournamentData[Champion''s Rank],MATCH(RobotGameDelib[[#This Row],[Team Number]],TournamentData[Team '#],0)))</f>
        <v>#NAME?</v>
      </c>
    </row>
    <row r="17" spans="2:15" ht="20.25" customHeight="1" x14ac:dyDescent="0.25">
      <c r="C17" s="5" t="str">
        <f>IF(ISNA(INDEX(OfficialTeamList[Team Name],MATCH(ChampionsDelib[[#This Row],[Team Number]], OfficialTeamList[Team '#],0))),"",INDEX(OfficialTeamList[Team Name],MATCH(ChampionsDelib[[#This Row],[Team Number]], OfficialTeamList[Team '#],0)))</f>
        <v/>
      </c>
      <c r="D17" s="5" t="e">
        <f>IF(ISNA(INDEX(TournamentData[Champion''s Rank],MATCH(ChampionsDelib[[#This Row],[Team Number]],TournamentData[Team '#],0))),NumberOfTeams+1,INDEX(TournamentData[Champion''s Rank],MATCH(ChampionsDelib[[#This Row],[Team Number]],TournamentData[Team '#],0)))</f>
        <v>#NAME?</v>
      </c>
      <c r="H17" s="5" t="str">
        <f>IF(ISNA(INDEX(OfficialTeamList[Team Name],MATCH(RobotGameDelib[[#This Row],[Team Number]], OfficialTeamList[Team '#],0))),"",INDEX(OfficialTeamList[Team Name],MATCH(RobotGameDelib[[#This Row],[Team Number]], OfficialTeamList[Team '#],0)))</f>
        <v/>
      </c>
      <c r="I17" s="5" t="e">
        <f>IF(ISNA(INDEX(TournamentData[Champion''s Rank],MATCH(RobotGameDelib[[#This Row],[Team Number]],TournamentData[Team '#],0))),NumberOfTeams+1,INDEX(TournamentData[Champion''s Rank],MATCH(RobotGameDelib[[#This Row],[Team Number]],TournamentData[Team '#],0)))</f>
        <v>#NAME?</v>
      </c>
    </row>
    <row r="18" spans="2:15" ht="20.25" customHeight="1" x14ac:dyDescent="0.25">
      <c r="C18" s="5" t="str">
        <f>IF(ISNA(INDEX(OfficialTeamList[Team Name],MATCH(ChampionsDelib[[#This Row],[Team Number]], OfficialTeamList[Team '#],0))),"",INDEX(OfficialTeamList[Team Name],MATCH(ChampionsDelib[[#This Row],[Team Number]], OfficialTeamList[Team '#],0)))</f>
        <v/>
      </c>
      <c r="D18" s="5" t="e">
        <f>IF(ISNA(INDEX(TournamentData[Champion''s Rank],MATCH(ChampionsDelib[[#This Row],[Team Number]],TournamentData[Team '#],0))),NumberOfTeams+1,INDEX(TournamentData[Champion''s Rank],MATCH(ChampionsDelib[[#This Row],[Team Number]],TournamentData[Team '#],0)))</f>
        <v>#NAME?</v>
      </c>
      <c r="H18" s="5" t="str">
        <f>IF(ISNA(INDEX(OfficialTeamList[Team Name],MATCH(RobotGameDelib[[#This Row],[Team Number]], OfficialTeamList[Team '#],0))),"",INDEX(OfficialTeamList[Team Name],MATCH(RobotGameDelib[[#This Row],[Team Number]], OfficialTeamList[Team '#],0)))</f>
        <v/>
      </c>
      <c r="I18" s="5" t="e">
        <f>IF(ISNA(INDEX(TournamentData[Champion''s Rank],MATCH(RobotGameDelib[[#This Row],[Team Number]],TournamentData[Team '#],0))),NumberOfTeams+1,INDEX(TournamentData[Champion''s Rank],MATCH(RobotGameDelib[[#This Row],[Team Number]],TournamentData[Team '#],0)))</f>
        <v>#NAME?</v>
      </c>
    </row>
    <row r="20" spans="2:15" ht="20.25" customHeight="1" x14ac:dyDescent="0.25">
      <c r="B20" s="5" t="s">
        <v>85</v>
      </c>
      <c r="G20" s="5" t="s">
        <v>86</v>
      </c>
      <c r="L20" s="5" t="s">
        <v>87</v>
      </c>
    </row>
    <row r="21" spans="2:15" ht="39.950000000000003" customHeight="1" x14ac:dyDescent="0.25">
      <c r="B21" s="14" t="s">
        <v>12</v>
      </c>
      <c r="C21" s="14" t="s">
        <v>13</v>
      </c>
      <c r="D21" s="15" t="s">
        <v>30</v>
      </c>
      <c r="E21" s="15" t="s">
        <v>84</v>
      </c>
      <c r="G21" s="18" t="s">
        <v>12</v>
      </c>
      <c r="H21" s="18" t="s">
        <v>13</v>
      </c>
      <c r="I21" s="19" t="s">
        <v>32</v>
      </c>
      <c r="J21" s="19" t="s">
        <v>84</v>
      </c>
      <c r="L21" s="16" t="s">
        <v>12</v>
      </c>
      <c r="M21" s="16" t="s">
        <v>13</v>
      </c>
      <c r="N21" s="17" t="s">
        <v>31</v>
      </c>
      <c r="O21" s="17" t="s">
        <v>84</v>
      </c>
    </row>
    <row r="22" spans="2:15" ht="20.25" customHeight="1" x14ac:dyDescent="0.25">
      <c r="C22" s="5" t="str">
        <f>IF(ISNA(INDEX(OfficialTeamList[Team Name],MATCH(CoreValuesDelib[[#This Row],[Team Number]], OfficialTeamList[Team '#],0))),"",INDEX(OfficialTeamList[Team Name],MATCH(CoreValuesDelib[[#This Row],[Team Number]], OfficialTeamList[Team '#],0)))</f>
        <v/>
      </c>
      <c r="D22" s="5" t="e">
        <f>IF(ISNA(INDEX(CoreValuesResults[Core Values Rank],MATCH(CoreValuesDelib[[#This Row],[Team Number]],CoreValuesResults[Team '#],0))),NumberOfTeams+1,INDEX(CoreValuesResults[Core Values Rank],MATCH(CoreValuesDelib[[#This Row],[Team Number]],CoreValuesResults[Team '#],0)))</f>
        <v>#NAME?</v>
      </c>
      <c r="H22" s="5" t="str">
        <f>IF(ISNA(INDEX(OfficialTeamList[Team Name],MATCH(RobotDesignDelib[[#This Row],[Team Number]], OfficialTeamList[Team '#],0))),"",INDEX(OfficialTeamList[Team Name],MATCH(RobotDesignDelib[[#This Row],[Team Number]], OfficialTeamList[Team '#],0)))</f>
        <v/>
      </c>
      <c r="I22" s="5" t="e">
        <f>IF(ISNA(INDEX(RobotDesignResults[Robot Design Rank],MATCH(RobotDesignDelib[[#This Row],[Team Number]],RobotDesignResults[Team '#],0))),NumberOfTeams+1,INDEX(RobotDesignResults[Robot Design Rank],MATCH(RobotDesignDelib[[#This Row],[Team Number]],RobotDesignResults[Team '#],0)))</f>
        <v>#NAME?</v>
      </c>
      <c r="M22" s="5" t="str">
        <f>IF(ISNA(INDEX(OfficialTeamList[Team Name],MATCH(InnovationProjectDelib[[#This Row],[Team Number]], OfficialTeamList[Team '#],0))),"",INDEX(OfficialTeamList[Team Name],MATCH(InnovationProjectDelib[[#This Row],[Team Number]], OfficialTeamList[Team '#],0)))</f>
        <v/>
      </c>
      <c r="N22"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3" spans="2:15" ht="20.25" customHeight="1" x14ac:dyDescent="0.25">
      <c r="C23" s="5" t="str">
        <f>IF(ISNA(INDEX(OfficialTeamList[Team Name],MATCH(CoreValuesDelib[[#This Row],[Team Number]], OfficialTeamList[Team '#],0))),"",INDEX(OfficialTeamList[Team Name],MATCH(CoreValuesDelib[[#This Row],[Team Number]], OfficialTeamList[Team '#],0)))</f>
        <v/>
      </c>
      <c r="D23" s="5" t="e">
        <f>IF(ISNA(INDEX(CoreValuesResults[Core Values Rank],MATCH(CoreValuesDelib[[#This Row],[Team Number]],CoreValuesResults[Team '#],0))),NumberOfTeams+1,INDEX(CoreValuesResults[Core Values Rank],MATCH(CoreValuesDelib[[#This Row],[Team Number]],CoreValuesResults[Team '#],0)))</f>
        <v>#NAME?</v>
      </c>
      <c r="H23" s="5" t="str">
        <f>IF(ISNA(INDEX(OfficialTeamList[Team Name],MATCH(RobotDesignDelib[[#This Row],[Team Number]], OfficialTeamList[Team '#],0))),"",INDEX(OfficialTeamList[Team Name],MATCH(RobotDesignDelib[[#This Row],[Team Number]], OfficialTeamList[Team '#],0)))</f>
        <v/>
      </c>
      <c r="I23" s="5" t="e">
        <f>IF(ISNA(INDEX(RobotDesignResults[Robot Design Rank],MATCH(RobotDesignDelib[[#This Row],[Team Number]],RobotDesignResults[Team '#],0))),NumberOfTeams+1,INDEX(RobotDesignResults[Robot Design Rank],MATCH(RobotDesignDelib[[#This Row],[Team Number]],RobotDesignResults[Team '#],0)))</f>
        <v>#NAME?</v>
      </c>
      <c r="M23" s="5" t="str">
        <f>IF(ISNA(INDEX(OfficialTeamList[Team Name],MATCH(InnovationProjectDelib[[#This Row],[Team Number]], OfficialTeamList[Team '#],0))),"",INDEX(OfficialTeamList[Team Name],MATCH(InnovationProjectDelib[[#This Row],[Team Number]], OfficialTeamList[Team '#],0)))</f>
        <v/>
      </c>
      <c r="N23"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4" spans="2:15" ht="20.25" customHeight="1" x14ac:dyDescent="0.25">
      <c r="C24" s="5" t="str">
        <f>IF(ISNA(INDEX(OfficialTeamList[Team Name],MATCH(CoreValuesDelib[[#This Row],[Team Number]], OfficialTeamList[Team '#],0))),"",INDEX(OfficialTeamList[Team Name],MATCH(CoreValuesDelib[[#This Row],[Team Number]], OfficialTeamList[Team '#],0)))</f>
        <v/>
      </c>
      <c r="D24" s="5" t="e">
        <f>IF(ISNA(INDEX(CoreValuesResults[Core Values Rank],MATCH(CoreValuesDelib[[#This Row],[Team Number]],CoreValuesResults[Team '#],0))),NumberOfTeams+1,INDEX(CoreValuesResults[Core Values Rank],MATCH(CoreValuesDelib[[#This Row],[Team Number]],CoreValuesResults[Team '#],0)))</f>
        <v>#NAME?</v>
      </c>
      <c r="H24" s="5" t="str">
        <f>IF(ISNA(INDEX(OfficialTeamList[Team Name],MATCH(RobotDesignDelib[[#This Row],[Team Number]], OfficialTeamList[Team '#],0))),"",INDEX(OfficialTeamList[Team Name],MATCH(RobotDesignDelib[[#This Row],[Team Number]], OfficialTeamList[Team '#],0)))</f>
        <v/>
      </c>
      <c r="I24" s="5" t="e">
        <f>IF(ISNA(INDEX(RobotDesignResults[Robot Design Rank],MATCH(RobotDesignDelib[[#This Row],[Team Number]],RobotDesignResults[Team '#],0))),NumberOfTeams+1,INDEX(RobotDesignResults[Robot Design Rank],MATCH(RobotDesignDelib[[#This Row],[Team Number]],RobotDesignResults[Team '#],0)))</f>
        <v>#NAME?</v>
      </c>
      <c r="M24" s="5" t="str">
        <f>IF(ISNA(INDEX(OfficialTeamList[Team Name],MATCH(InnovationProjectDelib[[#This Row],[Team Number]], OfficialTeamList[Team '#],0))),"",INDEX(OfficialTeamList[Team Name],MATCH(InnovationProjectDelib[[#This Row],[Team Number]], OfficialTeamList[Team '#],0)))</f>
        <v/>
      </c>
      <c r="N24"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5" spans="2:15" ht="20.25" customHeight="1" x14ac:dyDescent="0.25">
      <c r="C25" s="5" t="str">
        <f>IF(ISNA(INDEX(OfficialTeamList[Team Name],MATCH(CoreValuesDelib[[#This Row],[Team Number]], OfficialTeamList[Team '#],0))),"",INDEX(OfficialTeamList[Team Name],MATCH(CoreValuesDelib[[#This Row],[Team Number]], OfficialTeamList[Team '#],0)))</f>
        <v/>
      </c>
      <c r="D25" s="5" t="e">
        <f>IF(ISNA(INDEX(CoreValuesResults[Core Values Rank],MATCH(CoreValuesDelib[[#This Row],[Team Number]],CoreValuesResults[Team '#],0))),NumberOfTeams+1,INDEX(CoreValuesResults[Core Values Rank],MATCH(CoreValuesDelib[[#This Row],[Team Number]],CoreValuesResults[Team '#],0)))</f>
        <v>#NAME?</v>
      </c>
      <c r="H25" s="5" t="str">
        <f>IF(ISNA(INDEX(OfficialTeamList[Team Name],MATCH(RobotDesignDelib[[#This Row],[Team Number]], OfficialTeamList[Team '#],0))),"",INDEX(OfficialTeamList[Team Name],MATCH(RobotDesignDelib[[#This Row],[Team Number]], OfficialTeamList[Team '#],0)))</f>
        <v/>
      </c>
      <c r="I25" s="5" t="e">
        <f>IF(ISNA(INDEX(RobotDesignResults[Robot Design Rank],MATCH(RobotDesignDelib[[#This Row],[Team Number]],RobotDesignResults[Team '#],0))),NumberOfTeams+1,INDEX(RobotDesignResults[Robot Design Rank],MATCH(RobotDesignDelib[[#This Row],[Team Number]],RobotDesignResults[Team '#],0)))</f>
        <v>#NAME?</v>
      </c>
      <c r="M25" s="5" t="str">
        <f>IF(ISNA(INDEX(OfficialTeamList[Team Name],MATCH(InnovationProjectDelib[[#This Row],[Team Number]], OfficialTeamList[Team '#],0))),"",INDEX(OfficialTeamList[Team Name],MATCH(InnovationProjectDelib[[#This Row],[Team Number]], OfficialTeamList[Team '#],0)))</f>
        <v/>
      </c>
      <c r="N25"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6" spans="2:15" ht="20.25" customHeight="1" x14ac:dyDescent="0.25">
      <c r="C26" s="5" t="str">
        <f>IF(ISNA(INDEX(OfficialTeamList[Team Name],MATCH(CoreValuesDelib[[#This Row],[Team Number]], OfficialTeamList[Team '#],0))),"",INDEX(OfficialTeamList[Team Name],MATCH(CoreValuesDelib[[#This Row],[Team Number]], OfficialTeamList[Team '#],0)))</f>
        <v/>
      </c>
      <c r="D26" s="5" t="e">
        <f>IF(ISNA(INDEX(CoreValuesResults[Core Values Rank],MATCH(CoreValuesDelib[[#This Row],[Team Number]],CoreValuesResults[Team '#],0))),NumberOfTeams+1,INDEX(CoreValuesResults[Core Values Rank],MATCH(CoreValuesDelib[[#This Row],[Team Number]],CoreValuesResults[Team '#],0)))</f>
        <v>#NAME?</v>
      </c>
      <c r="H26" s="5" t="str">
        <f>IF(ISNA(INDEX(OfficialTeamList[Team Name],MATCH(RobotDesignDelib[[#This Row],[Team Number]], OfficialTeamList[Team '#],0))),"",INDEX(OfficialTeamList[Team Name],MATCH(RobotDesignDelib[[#This Row],[Team Number]], OfficialTeamList[Team '#],0)))</f>
        <v/>
      </c>
      <c r="I26" s="5" t="e">
        <f>IF(ISNA(INDEX(RobotDesignResults[Robot Design Rank],MATCH(RobotDesignDelib[[#This Row],[Team Number]],RobotDesignResults[Team '#],0))),NumberOfTeams+1,INDEX(RobotDesignResults[Robot Design Rank],MATCH(RobotDesignDelib[[#This Row],[Team Number]],RobotDesignResults[Team '#],0)))</f>
        <v>#NAME?</v>
      </c>
      <c r="M26" s="5" t="str">
        <f>IF(ISNA(INDEX(OfficialTeamList[Team Name],MATCH(InnovationProjectDelib[[#This Row],[Team Number]], OfficialTeamList[Team '#],0))),"",INDEX(OfficialTeamList[Team Name],MATCH(InnovationProjectDelib[[#This Row],[Team Number]], OfficialTeamList[Team '#],0)))</f>
        <v/>
      </c>
      <c r="N26"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7" spans="2:15" ht="20.25" customHeight="1" x14ac:dyDescent="0.25">
      <c r="C27" s="5" t="str">
        <f>IF(ISNA(INDEX(OfficialTeamList[Team Name],MATCH(CoreValuesDelib[[#This Row],[Team Number]], OfficialTeamList[Team '#],0))),"",INDEX(OfficialTeamList[Team Name],MATCH(CoreValuesDelib[[#This Row],[Team Number]], OfficialTeamList[Team '#],0)))</f>
        <v/>
      </c>
      <c r="D27" s="5" t="e">
        <f>IF(ISNA(INDEX(CoreValuesResults[Core Values Rank],MATCH(CoreValuesDelib[[#This Row],[Team Number]],CoreValuesResults[Team '#],0))),NumberOfTeams+1,INDEX(CoreValuesResults[Core Values Rank],MATCH(CoreValuesDelib[[#This Row],[Team Number]],CoreValuesResults[Team '#],0)))</f>
        <v>#NAME?</v>
      </c>
      <c r="H27" s="5" t="str">
        <f>IF(ISNA(INDEX(OfficialTeamList[Team Name],MATCH(RobotDesignDelib[[#This Row],[Team Number]], OfficialTeamList[Team '#],0))),"",INDEX(OfficialTeamList[Team Name],MATCH(RobotDesignDelib[[#This Row],[Team Number]], OfficialTeamList[Team '#],0)))</f>
        <v/>
      </c>
      <c r="I27" s="5" t="e">
        <f>IF(ISNA(INDEX(RobotDesignResults[Robot Design Rank],MATCH(RobotDesignDelib[[#This Row],[Team Number]],RobotDesignResults[Team '#],0))),NumberOfTeams+1,INDEX(RobotDesignResults[Robot Design Rank],MATCH(RobotDesignDelib[[#This Row],[Team Number]],RobotDesignResults[Team '#],0)))</f>
        <v>#NAME?</v>
      </c>
      <c r="M27" s="5" t="str">
        <f>IF(ISNA(INDEX(OfficialTeamList[Team Name],MATCH(InnovationProjectDelib[[#This Row],[Team Number]], OfficialTeamList[Team '#],0))),"",INDEX(OfficialTeamList[Team Name],MATCH(InnovationProjectDelib[[#This Row],[Team Number]], OfficialTeamList[Team '#],0)))</f>
        <v/>
      </c>
      <c r="N27"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8" spans="2:15" ht="20.25" customHeight="1" x14ac:dyDescent="0.25">
      <c r="C28" s="5" t="str">
        <f>IF(ISNA(INDEX(OfficialTeamList[Team Name],MATCH(CoreValuesDelib[[#This Row],[Team Number]], OfficialTeamList[Team '#],0))),"",INDEX(OfficialTeamList[Team Name],MATCH(CoreValuesDelib[[#This Row],[Team Number]], OfficialTeamList[Team '#],0)))</f>
        <v/>
      </c>
      <c r="D28" s="5" t="e">
        <f>IF(ISNA(INDEX(CoreValuesResults[Core Values Rank],MATCH(CoreValuesDelib[[#This Row],[Team Number]],CoreValuesResults[Team '#],0))),NumberOfTeams+1,INDEX(CoreValuesResults[Core Values Rank],MATCH(CoreValuesDelib[[#This Row],[Team Number]],CoreValuesResults[Team '#],0)))</f>
        <v>#NAME?</v>
      </c>
      <c r="H28" s="5" t="str">
        <f>IF(ISNA(INDEX(OfficialTeamList[Team Name],MATCH(RobotDesignDelib[[#This Row],[Team Number]], OfficialTeamList[Team '#],0))),"",INDEX(OfficialTeamList[Team Name],MATCH(RobotDesignDelib[[#This Row],[Team Number]], OfficialTeamList[Team '#],0)))</f>
        <v/>
      </c>
      <c r="I28" s="5" t="e">
        <f>IF(ISNA(INDEX(RobotDesignResults[Robot Design Rank],MATCH(RobotDesignDelib[[#This Row],[Team Number]],RobotDesignResults[Team '#],0))),NumberOfTeams+1,INDEX(RobotDesignResults[Robot Design Rank],MATCH(RobotDesignDelib[[#This Row],[Team Number]],RobotDesignResults[Team '#],0)))</f>
        <v>#NAME?</v>
      </c>
      <c r="M28" s="5" t="str">
        <f>IF(ISNA(INDEX(OfficialTeamList[Team Name],MATCH(InnovationProjectDelib[[#This Row],[Team Number]], OfficialTeamList[Team '#],0))),"",INDEX(OfficialTeamList[Team Name],MATCH(InnovationProjectDelib[[#This Row],[Team Number]], OfficialTeamList[Team '#],0)))</f>
        <v/>
      </c>
      <c r="N28"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29" spans="2:15" ht="20.25" customHeight="1" x14ac:dyDescent="0.25">
      <c r="C29" s="5" t="str">
        <f>IF(ISNA(INDEX(OfficialTeamList[Team Name],MATCH(CoreValuesDelib[[#This Row],[Team Number]], OfficialTeamList[Team '#],0))),"",INDEX(OfficialTeamList[Team Name],MATCH(CoreValuesDelib[[#This Row],[Team Number]], OfficialTeamList[Team '#],0)))</f>
        <v/>
      </c>
      <c r="D29" s="5" t="e">
        <f>IF(ISNA(INDEX(CoreValuesResults[Core Values Rank],MATCH(CoreValuesDelib[[#This Row],[Team Number]],CoreValuesResults[Team '#],0))),NumberOfTeams+1,INDEX(CoreValuesResults[Core Values Rank],MATCH(CoreValuesDelib[[#This Row],[Team Number]],CoreValuesResults[Team '#],0)))</f>
        <v>#NAME?</v>
      </c>
      <c r="H29" s="5" t="str">
        <f>IF(ISNA(INDEX(OfficialTeamList[Team Name],MATCH(RobotDesignDelib[[#This Row],[Team Number]], OfficialTeamList[Team '#],0))),"",INDEX(OfficialTeamList[Team Name],MATCH(RobotDesignDelib[[#This Row],[Team Number]], OfficialTeamList[Team '#],0)))</f>
        <v/>
      </c>
      <c r="I29" s="5" t="e">
        <f>IF(ISNA(INDEX(RobotDesignResults[Robot Design Rank],MATCH(RobotDesignDelib[[#This Row],[Team Number]],RobotDesignResults[Team '#],0))),NumberOfTeams+1,INDEX(RobotDesignResults[Robot Design Rank],MATCH(RobotDesignDelib[[#This Row],[Team Number]],RobotDesignResults[Team '#],0)))</f>
        <v>#NAME?</v>
      </c>
      <c r="M29" s="5" t="str">
        <f>IF(ISNA(INDEX(OfficialTeamList[Team Name],MATCH(InnovationProjectDelib[[#This Row],[Team Number]], OfficialTeamList[Team '#],0))),"",INDEX(OfficialTeamList[Team Name],MATCH(InnovationProjectDelib[[#This Row],[Team Number]], OfficialTeamList[Team '#],0)))</f>
        <v/>
      </c>
      <c r="N29"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0" spans="2:15" ht="20.25" customHeight="1" x14ac:dyDescent="0.25">
      <c r="C30" s="5" t="str">
        <f>IF(ISNA(INDEX(OfficialTeamList[Team Name],MATCH(CoreValuesDelib[[#This Row],[Team Number]], OfficialTeamList[Team '#],0))),"",INDEX(OfficialTeamList[Team Name],MATCH(CoreValuesDelib[[#This Row],[Team Number]], OfficialTeamList[Team '#],0)))</f>
        <v/>
      </c>
      <c r="D30" s="5" t="e">
        <f>IF(ISNA(INDEX(CoreValuesResults[Core Values Rank],MATCH(CoreValuesDelib[[#This Row],[Team Number]],CoreValuesResults[Team '#],0))),NumberOfTeams+1,INDEX(CoreValuesResults[Core Values Rank],MATCH(CoreValuesDelib[[#This Row],[Team Number]],CoreValuesResults[Team '#],0)))</f>
        <v>#NAME?</v>
      </c>
      <c r="H30" s="5" t="str">
        <f>IF(ISNA(INDEX(OfficialTeamList[Team Name],MATCH(RobotDesignDelib[[#This Row],[Team Number]], OfficialTeamList[Team '#],0))),"",INDEX(OfficialTeamList[Team Name],MATCH(RobotDesignDelib[[#This Row],[Team Number]], OfficialTeamList[Team '#],0)))</f>
        <v/>
      </c>
      <c r="I30" s="5" t="e">
        <f>IF(ISNA(INDEX(RobotDesignResults[Robot Design Rank],MATCH(RobotDesignDelib[[#This Row],[Team Number]],RobotDesignResults[Team '#],0))),NumberOfTeams+1,INDEX(RobotDesignResults[Robot Design Rank],MATCH(RobotDesignDelib[[#This Row],[Team Number]],RobotDesignResults[Team '#],0)))</f>
        <v>#NAME?</v>
      </c>
      <c r="M30" s="5" t="str">
        <f>IF(ISNA(INDEX(OfficialTeamList[Team Name],MATCH(InnovationProjectDelib[[#This Row],[Team Number]], OfficialTeamList[Team '#],0))),"",INDEX(OfficialTeamList[Team Name],MATCH(InnovationProjectDelib[[#This Row],[Team Number]], OfficialTeamList[Team '#],0)))</f>
        <v/>
      </c>
      <c r="N30"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1" spans="2:15" ht="20.25" customHeight="1" x14ac:dyDescent="0.25">
      <c r="C31" s="5" t="str">
        <f>IF(ISNA(INDEX(OfficialTeamList[Team Name],MATCH(CoreValuesDelib[[#This Row],[Team Number]], OfficialTeamList[Team '#],0))),"",INDEX(OfficialTeamList[Team Name],MATCH(CoreValuesDelib[[#This Row],[Team Number]], OfficialTeamList[Team '#],0)))</f>
        <v/>
      </c>
      <c r="D31" s="5" t="e">
        <f>IF(ISNA(INDEX(CoreValuesResults[Core Values Rank],MATCH(CoreValuesDelib[[#This Row],[Team Number]],CoreValuesResults[Team '#],0))),NumberOfTeams+1,INDEX(CoreValuesResults[Core Values Rank],MATCH(CoreValuesDelib[[#This Row],[Team Number]],CoreValuesResults[Team '#],0)))</f>
        <v>#NAME?</v>
      </c>
      <c r="H31" s="5" t="str">
        <f>IF(ISNA(INDEX(OfficialTeamList[Team Name],MATCH(RobotDesignDelib[[#This Row],[Team Number]], OfficialTeamList[Team '#],0))),"",INDEX(OfficialTeamList[Team Name],MATCH(RobotDesignDelib[[#This Row],[Team Number]], OfficialTeamList[Team '#],0)))</f>
        <v/>
      </c>
      <c r="I31" s="5" t="e">
        <f>IF(ISNA(INDEX(RobotDesignResults[Robot Design Rank],MATCH(RobotDesignDelib[[#This Row],[Team Number]],RobotDesignResults[Team '#],0))),NumberOfTeams+1,INDEX(RobotDesignResults[Robot Design Rank],MATCH(RobotDesignDelib[[#This Row],[Team Number]],RobotDesignResults[Team '#],0)))</f>
        <v>#NAME?</v>
      </c>
      <c r="M31" s="5" t="str">
        <f>IF(ISNA(INDEX(OfficialTeamList[Team Name],MATCH(InnovationProjectDelib[[#This Row],[Team Number]], OfficialTeamList[Team '#],0))),"",INDEX(OfficialTeamList[Team Name],MATCH(InnovationProjectDelib[[#This Row],[Team Number]], OfficialTeamList[Team '#],0)))</f>
        <v/>
      </c>
      <c r="N31"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2" spans="2:15" ht="20.25" customHeight="1" x14ac:dyDescent="0.25">
      <c r="C32" s="5" t="str">
        <f>IF(ISNA(INDEX(OfficialTeamList[Team Name],MATCH(CoreValuesDelib[[#This Row],[Team Number]], OfficialTeamList[Team '#],0))),"",INDEX(OfficialTeamList[Team Name],MATCH(CoreValuesDelib[[#This Row],[Team Number]], OfficialTeamList[Team '#],0)))</f>
        <v/>
      </c>
      <c r="D32" s="5" t="e">
        <f>IF(ISNA(INDEX(CoreValuesResults[Core Values Rank],MATCH(CoreValuesDelib[[#This Row],[Team Number]],CoreValuesResults[Team '#],0))),NumberOfTeams+1,INDEX(CoreValuesResults[Core Values Rank],MATCH(CoreValuesDelib[[#This Row],[Team Number]],CoreValuesResults[Team '#],0)))</f>
        <v>#NAME?</v>
      </c>
      <c r="H32" s="5" t="str">
        <f>IF(ISNA(INDEX(OfficialTeamList[Team Name],MATCH(RobotDesignDelib[[#This Row],[Team Number]], OfficialTeamList[Team '#],0))),"",INDEX(OfficialTeamList[Team Name],MATCH(RobotDesignDelib[[#This Row],[Team Number]], OfficialTeamList[Team '#],0)))</f>
        <v/>
      </c>
      <c r="I32" s="5" t="e">
        <f>IF(ISNA(INDEX(RobotDesignResults[Robot Design Rank],MATCH(RobotDesignDelib[[#This Row],[Team Number]],RobotDesignResults[Team '#],0))),NumberOfTeams+1,INDEX(RobotDesignResults[Robot Design Rank],MATCH(RobotDesignDelib[[#This Row],[Team Number]],RobotDesignResults[Team '#],0)))</f>
        <v>#NAME?</v>
      </c>
      <c r="M32" s="5" t="str">
        <f>IF(ISNA(INDEX(OfficialTeamList[Team Name],MATCH(InnovationProjectDelib[[#This Row],[Team Number]], OfficialTeamList[Team '#],0))),"",INDEX(OfficialTeamList[Team Name],MATCH(InnovationProjectDelib[[#This Row],[Team Number]], OfficialTeamList[Team '#],0)))</f>
        <v/>
      </c>
      <c r="N32"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3" spans="2:15" ht="20.25" customHeight="1" x14ac:dyDescent="0.25">
      <c r="C33" s="5" t="str">
        <f>IF(ISNA(INDEX(OfficialTeamList[Team Name],MATCH(CoreValuesDelib[[#This Row],[Team Number]], OfficialTeamList[Team '#],0))),"",INDEX(OfficialTeamList[Team Name],MATCH(CoreValuesDelib[[#This Row],[Team Number]], OfficialTeamList[Team '#],0)))</f>
        <v/>
      </c>
      <c r="D33" s="5" t="e">
        <f>IF(ISNA(INDEX(CoreValuesResults[Core Values Rank],MATCH(CoreValuesDelib[[#This Row],[Team Number]],CoreValuesResults[Team '#],0))),NumberOfTeams+1,INDEX(CoreValuesResults[Core Values Rank],MATCH(CoreValuesDelib[[#This Row],[Team Number]],CoreValuesResults[Team '#],0)))</f>
        <v>#NAME?</v>
      </c>
      <c r="H33" s="5" t="str">
        <f>IF(ISNA(INDEX(OfficialTeamList[Team Name],MATCH(RobotDesignDelib[[#This Row],[Team Number]], OfficialTeamList[Team '#],0))),"",INDEX(OfficialTeamList[Team Name],MATCH(RobotDesignDelib[[#This Row],[Team Number]], OfficialTeamList[Team '#],0)))</f>
        <v/>
      </c>
      <c r="I33" s="5" t="e">
        <f>IF(ISNA(INDEX(RobotDesignResults[Robot Design Rank],MATCH(RobotDesignDelib[[#This Row],[Team Number]],RobotDesignResults[Team '#],0))),NumberOfTeams+1,INDEX(RobotDesignResults[Robot Design Rank],MATCH(RobotDesignDelib[[#This Row],[Team Number]],RobotDesignResults[Team '#],0)))</f>
        <v>#NAME?</v>
      </c>
      <c r="M33" s="5" t="str">
        <f>IF(ISNA(INDEX(OfficialTeamList[Team Name],MATCH(InnovationProjectDelib[[#This Row],[Team Number]], OfficialTeamList[Team '#],0))),"",INDEX(OfficialTeamList[Team Name],MATCH(InnovationProjectDelib[[#This Row],[Team Number]], OfficialTeamList[Team '#],0)))</f>
        <v/>
      </c>
      <c r="N33"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4" spans="2:15" ht="20.25" customHeight="1" x14ac:dyDescent="0.25">
      <c r="C34" s="5" t="str">
        <f>IF(ISNA(INDEX(OfficialTeamList[Team Name],MATCH(CoreValuesDelib[[#This Row],[Team Number]], OfficialTeamList[Team '#],0))),"",INDEX(OfficialTeamList[Team Name],MATCH(CoreValuesDelib[[#This Row],[Team Number]], OfficialTeamList[Team '#],0)))</f>
        <v/>
      </c>
      <c r="D34" s="5" t="e">
        <f>IF(ISNA(INDEX(CoreValuesResults[Core Values Rank],MATCH(CoreValuesDelib[[#This Row],[Team Number]],CoreValuesResults[Team '#],0))),NumberOfTeams+1,INDEX(CoreValuesResults[Core Values Rank],MATCH(CoreValuesDelib[[#This Row],[Team Number]],CoreValuesResults[Team '#],0)))</f>
        <v>#NAME?</v>
      </c>
      <c r="H34" s="5" t="str">
        <f>IF(ISNA(INDEX(OfficialTeamList[Team Name],MATCH(RobotDesignDelib[[#This Row],[Team Number]], OfficialTeamList[Team '#],0))),"",INDEX(OfficialTeamList[Team Name],MATCH(RobotDesignDelib[[#This Row],[Team Number]], OfficialTeamList[Team '#],0)))</f>
        <v/>
      </c>
      <c r="I34" s="5" t="e">
        <f>IF(ISNA(INDEX(RobotDesignResults[Robot Design Rank],MATCH(RobotDesignDelib[[#This Row],[Team Number]],RobotDesignResults[Team '#],0))),NumberOfTeams+1,INDEX(RobotDesignResults[Robot Design Rank],MATCH(RobotDesignDelib[[#This Row],[Team Number]],RobotDesignResults[Team '#],0)))</f>
        <v>#NAME?</v>
      </c>
      <c r="M34" s="5" t="str">
        <f>IF(ISNA(INDEX(OfficialTeamList[Team Name],MATCH(InnovationProjectDelib[[#This Row],[Team Number]], OfficialTeamList[Team '#],0))),"",INDEX(OfficialTeamList[Team Name],MATCH(InnovationProjectDelib[[#This Row],[Team Number]], OfficialTeamList[Team '#],0)))</f>
        <v/>
      </c>
      <c r="N34"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5" spans="2:15" ht="20.25" customHeight="1" x14ac:dyDescent="0.25">
      <c r="C35" s="5" t="str">
        <f>IF(ISNA(INDEX(OfficialTeamList[Team Name],MATCH(CoreValuesDelib[[#This Row],[Team Number]], OfficialTeamList[Team '#],0))),"",INDEX(OfficialTeamList[Team Name],MATCH(CoreValuesDelib[[#This Row],[Team Number]], OfficialTeamList[Team '#],0)))</f>
        <v/>
      </c>
      <c r="D35" s="5" t="e">
        <f>IF(ISNA(INDEX(CoreValuesResults[Core Values Rank],MATCH(CoreValuesDelib[[#This Row],[Team Number]],CoreValuesResults[Team '#],0))),NumberOfTeams+1,INDEX(CoreValuesResults[Core Values Rank],MATCH(CoreValuesDelib[[#This Row],[Team Number]],CoreValuesResults[Team '#],0)))</f>
        <v>#NAME?</v>
      </c>
      <c r="H35" s="5" t="str">
        <f>IF(ISNA(INDEX(OfficialTeamList[Team Name],MATCH(RobotDesignDelib[[#This Row],[Team Number]], OfficialTeamList[Team '#],0))),"",INDEX(OfficialTeamList[Team Name],MATCH(RobotDesignDelib[[#This Row],[Team Number]], OfficialTeamList[Team '#],0)))</f>
        <v/>
      </c>
      <c r="I35" s="5" t="e">
        <f>IF(ISNA(INDEX(RobotDesignResults[Robot Design Rank],MATCH(RobotDesignDelib[[#This Row],[Team Number]],RobotDesignResults[Team '#],0))),NumberOfTeams+1,INDEX(RobotDesignResults[Robot Design Rank],MATCH(RobotDesignDelib[[#This Row],[Team Number]],RobotDesignResults[Team '#],0)))</f>
        <v>#NAME?</v>
      </c>
      <c r="M35" s="5" t="str">
        <f>IF(ISNA(INDEX(OfficialTeamList[Team Name],MATCH(InnovationProjectDelib[[#This Row],[Team Number]], OfficialTeamList[Team '#],0))),"",INDEX(OfficialTeamList[Team Name],MATCH(InnovationProjectDelib[[#This Row],[Team Number]], OfficialTeamList[Team '#],0)))</f>
        <v/>
      </c>
      <c r="N35"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6" spans="2:15" ht="20.25" customHeight="1" x14ac:dyDescent="0.25">
      <c r="C36" s="5" t="str">
        <f>IF(ISNA(INDEX(OfficialTeamList[Team Name],MATCH(CoreValuesDelib[[#This Row],[Team Number]], OfficialTeamList[Team '#],0))),"",INDEX(OfficialTeamList[Team Name],MATCH(CoreValuesDelib[[#This Row],[Team Number]], OfficialTeamList[Team '#],0)))</f>
        <v/>
      </c>
      <c r="D36" s="5" t="e">
        <f>IF(ISNA(INDEX(CoreValuesResults[Core Values Rank],MATCH(CoreValuesDelib[[#This Row],[Team Number]],CoreValuesResults[Team '#],0))),NumberOfTeams+1,INDEX(CoreValuesResults[Core Values Rank],MATCH(CoreValuesDelib[[#This Row],[Team Number]],CoreValuesResults[Team '#],0)))</f>
        <v>#NAME?</v>
      </c>
      <c r="H36" s="5" t="str">
        <f>IF(ISNA(INDEX(OfficialTeamList[Team Name],MATCH(RobotDesignDelib[[#This Row],[Team Number]], OfficialTeamList[Team '#],0))),"",INDEX(OfficialTeamList[Team Name],MATCH(RobotDesignDelib[[#This Row],[Team Number]], OfficialTeamList[Team '#],0)))</f>
        <v/>
      </c>
      <c r="I36" s="5" t="e">
        <f>IF(ISNA(INDEX(RobotDesignResults[Robot Design Rank],MATCH(RobotDesignDelib[[#This Row],[Team Number]],RobotDesignResults[Team '#],0))),NumberOfTeams+1,INDEX(RobotDesignResults[Robot Design Rank],MATCH(RobotDesignDelib[[#This Row],[Team Number]],RobotDesignResults[Team '#],0)))</f>
        <v>#NAME?</v>
      </c>
      <c r="M36" s="5" t="str">
        <f>IF(ISNA(INDEX(OfficialTeamList[Team Name],MATCH(InnovationProjectDelib[[#This Row],[Team Number]], OfficialTeamList[Team '#],0))),"",INDEX(OfficialTeamList[Team Name],MATCH(InnovationProjectDelib[[#This Row],[Team Number]], OfficialTeamList[Team '#],0)))</f>
        <v/>
      </c>
      <c r="N36" s="5" t="e">
        <f>IF(ISNA(INDEX(InnovationProjectResults[Innovation Project Rank],MATCH(InnovationProjectDelib[[#This Row],[Team Number]],InnovationProjectResults[Team '#],0))),NumberOfTeams+1,INDEX(InnovationProjectResults[Innovation Project Rank],MATCH(InnovationProjectDelib[[#This Row],[Team Number]],InnovationProjectResults[Team '#],0)))</f>
        <v>#NAME?</v>
      </c>
    </row>
    <row r="38" spans="2:15" ht="20.25" customHeight="1" x14ac:dyDescent="0.25">
      <c r="B38" s="5" t="s">
        <v>88</v>
      </c>
      <c r="G38" s="5" t="s">
        <v>89</v>
      </c>
      <c r="L38" s="5" t="s">
        <v>90</v>
      </c>
    </row>
    <row r="39" spans="2:15" ht="39.950000000000003" customHeight="1" x14ac:dyDescent="0.25">
      <c r="B39" s="12" t="s">
        <v>12</v>
      </c>
      <c r="C39" s="12" t="s">
        <v>13</v>
      </c>
      <c r="D39" s="13" t="s">
        <v>34</v>
      </c>
      <c r="E39" s="13" t="s">
        <v>84</v>
      </c>
      <c r="G39" s="12" t="s">
        <v>12</v>
      </c>
      <c r="H39" s="12" t="s">
        <v>13</v>
      </c>
      <c r="I39" s="13" t="s">
        <v>34</v>
      </c>
      <c r="J39" s="13" t="s">
        <v>84</v>
      </c>
      <c r="L39" s="12" t="s">
        <v>12</v>
      </c>
      <c r="M39" s="12" t="s">
        <v>13</v>
      </c>
      <c r="N39" s="13" t="s">
        <v>34</v>
      </c>
      <c r="O39" s="13" t="s">
        <v>84</v>
      </c>
    </row>
    <row r="40" spans="2:15" ht="20.25" customHeight="1" x14ac:dyDescent="0.25">
      <c r="C40" s="5" t="str">
        <f>IF(ISNA(INDEX(OfficialTeamList[Team Name],MATCH(BreakthroughDelib[[#This Row],[Team Number]], OfficialTeamList[Team '#],0))),"",INDEX(OfficialTeamList[Team Name],MATCH(BreakthroughDelib[[#This Row],[Team Number]], OfficialTeamList[Team '#],0)))</f>
        <v/>
      </c>
      <c r="D40" s="5" t="e">
        <f>IF(ISNA(INDEX(TournamentData[Champion''s Rank],MATCH(BreakthroughDelib[[#This Row],[Team Number]],TournamentData[Team '#],0))),NumberOfTeams+1,INDEX(TournamentData[Champion''s Rank],MATCH(BreakthroughDelib[[#This Row],[Team Number]],TournamentData[Team '#],0)))</f>
        <v>#NAME?</v>
      </c>
      <c r="H40" s="5" t="str">
        <f>IF(ISNA(INDEX(OfficialTeamList[Team Name],MATCH(RookiAllStarDelib[[#This Row],[Team Number]], OfficialTeamList[Team '#],0))),"",INDEX(OfficialTeamList[Team Name],MATCH(RookiAllStarDelib[[#This Row],[Team Number]], OfficialTeamList[Team '#],0)))</f>
        <v/>
      </c>
      <c r="I40" s="5" t="e">
        <f>IF(ISNA(INDEX(TournamentData[Champion''s Rank],MATCH(RookiAllStarDelib[[#This Row],[Team Number]],TournamentData[Team '#],0))),NumberOfTeams+1,INDEX(TournamentData[Champion''s Rank],MATCH(RookiAllStarDelib[[#This Row],[Team Number]],TournamentData[Team '#],0)))</f>
        <v>#NAME?</v>
      </c>
      <c r="M40" s="5" t="str">
        <f>IF(ISNA(INDEX(OfficialTeamList[Team Name],MATCH(MotivateDelib[[#This Row],[Team Number]], OfficialTeamList[Team '#],0))),"",INDEX(OfficialTeamList[Team Name],MATCH(MotivateDelib[[#This Row],[Team Number]], OfficialTeamList[Team '#],0)))</f>
        <v/>
      </c>
      <c r="N40" s="5" t="e">
        <f>IF(ISNA(INDEX(TournamentData[Champion''s Rank],MATCH(MotivateDelib[[#This Row],[Team Number]],TournamentData[Team '#],0))),NumberOfTeams+1,INDEX(TournamentData[Champion''s Rank],MATCH(MotivateDelib[[#This Row],[Team Number]],TournamentData[Team '#],0)))</f>
        <v>#NAME?</v>
      </c>
    </row>
    <row r="41" spans="2:15" ht="20.25" customHeight="1" x14ac:dyDescent="0.25">
      <c r="C41" s="5" t="str">
        <f>IF(ISNA(INDEX(OfficialTeamList[Team Name],MATCH(BreakthroughDelib[[#This Row],[Team Number]], OfficialTeamList[Team '#],0))),"",INDEX(OfficialTeamList[Team Name],MATCH(BreakthroughDelib[[#This Row],[Team Number]], OfficialTeamList[Team '#],0)))</f>
        <v/>
      </c>
      <c r="D41" s="5" t="e">
        <f>IF(ISNA(INDEX(TournamentData[Champion''s Rank],MATCH(BreakthroughDelib[[#This Row],[Team Number]],TournamentData[Team '#],0))),NumberOfTeams+1,INDEX(TournamentData[Champion''s Rank],MATCH(BreakthroughDelib[[#This Row],[Team Number]],TournamentData[Team '#],0)))</f>
        <v>#NAME?</v>
      </c>
      <c r="H41" s="5" t="str">
        <f>IF(ISNA(INDEX(OfficialTeamList[Team Name],MATCH(RookiAllStarDelib[[#This Row],[Team Number]], OfficialTeamList[Team '#],0))),"",INDEX(OfficialTeamList[Team Name],MATCH(RookiAllStarDelib[[#This Row],[Team Number]], OfficialTeamList[Team '#],0)))</f>
        <v/>
      </c>
      <c r="I41" s="5" t="e">
        <f>IF(ISNA(INDEX(TournamentData[Champion''s Rank],MATCH(RookiAllStarDelib[[#This Row],[Team Number]],TournamentData[Team '#],0))),NumberOfTeams+1,INDEX(TournamentData[Champion''s Rank],MATCH(RookiAllStarDelib[[#This Row],[Team Number]],TournamentData[Team '#],0)))</f>
        <v>#NAME?</v>
      </c>
      <c r="M41" s="5" t="str">
        <f>IF(ISNA(INDEX(OfficialTeamList[Team Name],MATCH(MotivateDelib[[#This Row],[Team Number]], OfficialTeamList[Team '#],0))),"",INDEX(OfficialTeamList[Team Name],MATCH(MotivateDelib[[#This Row],[Team Number]], OfficialTeamList[Team '#],0)))</f>
        <v/>
      </c>
      <c r="N41" s="5" t="e">
        <f>IF(ISNA(INDEX(TournamentData[Champion''s Rank],MATCH(MotivateDelib[[#This Row],[Team Number]],TournamentData[Team '#],0))),NumberOfTeams+1,INDEX(TournamentData[Champion''s Rank],MATCH(MotivateDelib[[#This Row],[Team Number]],TournamentData[Team '#],0)))</f>
        <v>#NAME?</v>
      </c>
    </row>
    <row r="42" spans="2:15" ht="20.25" customHeight="1" x14ac:dyDescent="0.25">
      <c r="C42" s="5" t="str">
        <f>IF(ISNA(INDEX(OfficialTeamList[Team Name],MATCH(BreakthroughDelib[[#This Row],[Team Number]], OfficialTeamList[Team '#],0))),"",INDEX(OfficialTeamList[Team Name],MATCH(BreakthroughDelib[[#This Row],[Team Number]], OfficialTeamList[Team '#],0)))</f>
        <v/>
      </c>
      <c r="D42" s="5" t="e">
        <f>IF(ISNA(INDEX(TournamentData[Champion''s Rank],MATCH(BreakthroughDelib[[#This Row],[Team Number]],TournamentData[Team '#],0))),NumberOfTeams+1,INDEX(TournamentData[Champion''s Rank],MATCH(BreakthroughDelib[[#This Row],[Team Number]],TournamentData[Team '#],0)))</f>
        <v>#NAME?</v>
      </c>
      <c r="H42" s="5" t="str">
        <f>IF(ISNA(INDEX(OfficialTeamList[Team Name],MATCH(RookiAllStarDelib[[#This Row],[Team Number]], OfficialTeamList[Team '#],0))),"",INDEX(OfficialTeamList[Team Name],MATCH(RookiAllStarDelib[[#This Row],[Team Number]], OfficialTeamList[Team '#],0)))</f>
        <v/>
      </c>
      <c r="I42" s="5" t="e">
        <f>IF(ISNA(INDEX(TournamentData[Champion''s Rank],MATCH(RookiAllStarDelib[[#This Row],[Team Number]],TournamentData[Team '#],0))),NumberOfTeams+1,INDEX(TournamentData[Champion''s Rank],MATCH(RookiAllStarDelib[[#This Row],[Team Number]],TournamentData[Team '#],0)))</f>
        <v>#NAME?</v>
      </c>
      <c r="M42" s="5" t="str">
        <f>IF(ISNA(INDEX(OfficialTeamList[Team Name],MATCH(MotivateDelib[[#This Row],[Team Number]], OfficialTeamList[Team '#],0))),"",INDEX(OfficialTeamList[Team Name],MATCH(MotivateDelib[[#This Row],[Team Number]], OfficialTeamList[Team '#],0)))</f>
        <v/>
      </c>
      <c r="N42" s="5" t="e">
        <f>IF(ISNA(INDEX(TournamentData[Champion''s Rank],MATCH(MotivateDelib[[#This Row],[Team Number]],TournamentData[Team '#],0))),NumberOfTeams+1,INDEX(TournamentData[Champion''s Rank],MATCH(MotivateDelib[[#This Row],[Team Number]],TournamentData[Team '#],0)))</f>
        <v>#NAME?</v>
      </c>
    </row>
    <row r="43" spans="2:15" ht="20.25" customHeight="1" x14ac:dyDescent="0.25">
      <c r="C43" s="5" t="str">
        <f>IF(ISNA(INDEX(OfficialTeamList[Team Name],MATCH(BreakthroughDelib[[#This Row],[Team Number]], OfficialTeamList[Team '#],0))),"",INDEX(OfficialTeamList[Team Name],MATCH(BreakthroughDelib[[#This Row],[Team Number]], OfficialTeamList[Team '#],0)))</f>
        <v/>
      </c>
      <c r="D43" s="5" t="e">
        <f>IF(ISNA(INDEX(TournamentData[Champion''s Rank],MATCH(BreakthroughDelib[[#This Row],[Team Number]],TournamentData[Team '#],0))),NumberOfTeams+1,INDEX(TournamentData[Champion''s Rank],MATCH(BreakthroughDelib[[#This Row],[Team Number]],TournamentData[Team '#],0)))</f>
        <v>#NAME?</v>
      </c>
      <c r="H43" s="5" t="str">
        <f>IF(ISNA(INDEX(OfficialTeamList[Team Name],MATCH(RookiAllStarDelib[[#This Row],[Team Number]], OfficialTeamList[Team '#],0))),"",INDEX(OfficialTeamList[Team Name],MATCH(RookiAllStarDelib[[#This Row],[Team Number]], OfficialTeamList[Team '#],0)))</f>
        <v/>
      </c>
      <c r="I43" s="5" t="e">
        <f>IF(ISNA(INDEX(TournamentData[Champion''s Rank],MATCH(RookiAllStarDelib[[#This Row],[Team Number]],TournamentData[Team '#],0))),NumberOfTeams+1,INDEX(TournamentData[Champion''s Rank],MATCH(RookiAllStarDelib[[#This Row],[Team Number]],TournamentData[Team '#],0)))</f>
        <v>#NAME?</v>
      </c>
      <c r="M43" s="5" t="str">
        <f>IF(ISNA(INDEX(OfficialTeamList[Team Name],MATCH(MotivateDelib[[#This Row],[Team Number]], OfficialTeamList[Team '#],0))),"",INDEX(OfficialTeamList[Team Name],MATCH(MotivateDelib[[#This Row],[Team Number]], OfficialTeamList[Team '#],0)))</f>
        <v/>
      </c>
      <c r="N43" s="5" t="e">
        <f>IF(ISNA(INDEX(TournamentData[Champion''s Rank],MATCH(MotivateDelib[[#This Row],[Team Number]],TournamentData[Team '#],0))),NumberOfTeams+1,INDEX(TournamentData[Champion''s Rank],MATCH(MotivateDelib[[#This Row],[Team Number]],TournamentData[Team '#],0)))</f>
        <v>#NAME?</v>
      </c>
    </row>
    <row r="44" spans="2:15" ht="20.25" customHeight="1" x14ac:dyDescent="0.25">
      <c r="C44" s="5" t="str">
        <f>IF(ISNA(INDEX(OfficialTeamList[Team Name],MATCH(BreakthroughDelib[[#This Row],[Team Number]], OfficialTeamList[Team '#],0))),"",INDEX(OfficialTeamList[Team Name],MATCH(BreakthroughDelib[[#This Row],[Team Number]], OfficialTeamList[Team '#],0)))</f>
        <v/>
      </c>
      <c r="D44" s="5" t="e">
        <f>IF(ISNA(INDEX(TournamentData[Champion''s Rank],MATCH(BreakthroughDelib[[#This Row],[Team Number]],TournamentData[Team '#],0))),NumberOfTeams+1,INDEX(TournamentData[Champion''s Rank],MATCH(BreakthroughDelib[[#This Row],[Team Number]],TournamentData[Team '#],0)))</f>
        <v>#NAME?</v>
      </c>
      <c r="H44" s="5" t="str">
        <f>IF(ISNA(INDEX(OfficialTeamList[Team Name],MATCH(RookiAllStarDelib[[#This Row],[Team Number]], OfficialTeamList[Team '#],0))),"",INDEX(OfficialTeamList[Team Name],MATCH(RookiAllStarDelib[[#This Row],[Team Number]], OfficialTeamList[Team '#],0)))</f>
        <v/>
      </c>
      <c r="I44" s="5" t="e">
        <f>IF(ISNA(INDEX(TournamentData[Champion''s Rank],MATCH(RookiAllStarDelib[[#This Row],[Team Number]],TournamentData[Team '#],0))),NumberOfTeams+1,INDEX(TournamentData[Champion''s Rank],MATCH(RookiAllStarDelib[[#This Row],[Team Number]],TournamentData[Team '#],0)))</f>
        <v>#NAME?</v>
      </c>
      <c r="M44" s="5" t="str">
        <f>IF(ISNA(INDEX(OfficialTeamList[Team Name],MATCH(MotivateDelib[[#This Row],[Team Number]], OfficialTeamList[Team '#],0))),"",INDEX(OfficialTeamList[Team Name],MATCH(MotivateDelib[[#This Row],[Team Number]], OfficialTeamList[Team '#],0)))</f>
        <v/>
      </c>
      <c r="N44" s="5" t="e">
        <f>IF(ISNA(INDEX(TournamentData[Champion''s Rank],MATCH(MotivateDelib[[#This Row],[Team Number]],TournamentData[Team '#],0))),NumberOfTeams+1,INDEX(TournamentData[Champion''s Rank],MATCH(MotivateDelib[[#This Row],[Team Number]],TournamentData[Team '#],0)))</f>
        <v>#NAME?</v>
      </c>
    </row>
    <row r="45" spans="2:15" ht="20.25" customHeight="1" x14ac:dyDescent="0.25">
      <c r="C45" s="5" t="str">
        <f>IF(ISNA(INDEX(OfficialTeamList[Team Name],MATCH(BreakthroughDelib[[#This Row],[Team Number]], OfficialTeamList[Team '#],0))),"",INDEX(OfficialTeamList[Team Name],MATCH(BreakthroughDelib[[#This Row],[Team Number]], OfficialTeamList[Team '#],0)))</f>
        <v/>
      </c>
      <c r="D45" s="5" t="e">
        <f>IF(ISNA(INDEX(TournamentData[Champion''s Rank],MATCH(BreakthroughDelib[[#This Row],[Team Number]],TournamentData[Team '#],0))),NumberOfTeams+1,INDEX(TournamentData[Champion''s Rank],MATCH(BreakthroughDelib[[#This Row],[Team Number]],TournamentData[Team '#],0)))</f>
        <v>#NAME?</v>
      </c>
      <c r="H45" s="5" t="str">
        <f>IF(ISNA(INDEX(OfficialTeamList[Team Name],MATCH(RookiAllStarDelib[[#This Row],[Team Number]], OfficialTeamList[Team '#],0))),"",INDEX(OfficialTeamList[Team Name],MATCH(RookiAllStarDelib[[#This Row],[Team Number]], OfficialTeamList[Team '#],0)))</f>
        <v/>
      </c>
      <c r="I45" s="5" t="e">
        <f>IF(ISNA(INDEX(TournamentData[Champion''s Rank],MATCH(RookiAllStarDelib[[#This Row],[Team Number]],TournamentData[Team '#],0))),NumberOfTeams+1,INDEX(TournamentData[Champion''s Rank],MATCH(RookiAllStarDelib[[#This Row],[Team Number]],TournamentData[Team '#],0)))</f>
        <v>#NAME?</v>
      </c>
      <c r="M45" s="5" t="str">
        <f>IF(ISNA(INDEX(OfficialTeamList[Team Name],MATCH(MotivateDelib[[#This Row],[Team Number]], OfficialTeamList[Team '#],0))),"",INDEX(OfficialTeamList[Team Name],MATCH(MotivateDelib[[#This Row],[Team Number]], OfficialTeamList[Team '#],0)))</f>
        <v/>
      </c>
      <c r="N45" s="5" t="e">
        <f>IF(ISNA(INDEX(TournamentData[Champion''s Rank],MATCH(MotivateDelib[[#This Row],[Team Number]],TournamentData[Team '#],0))),NumberOfTeams+1,INDEX(TournamentData[Champion''s Rank],MATCH(MotivateDelib[[#This Row],[Team Number]],TournamentData[Team '#],0)))</f>
        <v>#NAME?</v>
      </c>
    </row>
    <row r="46" spans="2:15" ht="20.25" customHeight="1" x14ac:dyDescent="0.25">
      <c r="C46" s="5" t="str">
        <f>IF(ISNA(INDEX(OfficialTeamList[Team Name],MATCH(BreakthroughDelib[[#This Row],[Team Number]], OfficialTeamList[Team '#],0))),"",INDEX(OfficialTeamList[Team Name],MATCH(BreakthroughDelib[[#This Row],[Team Number]], OfficialTeamList[Team '#],0)))</f>
        <v/>
      </c>
      <c r="D46" s="5" t="e">
        <f>IF(ISNA(INDEX(TournamentData[Champion''s Rank],MATCH(BreakthroughDelib[[#This Row],[Team Number]],TournamentData[Team '#],0))),NumberOfTeams+1,INDEX(TournamentData[Champion''s Rank],MATCH(BreakthroughDelib[[#This Row],[Team Number]],TournamentData[Team '#],0)))</f>
        <v>#NAME?</v>
      </c>
      <c r="H46" s="5" t="str">
        <f>IF(ISNA(INDEX(OfficialTeamList[Team Name],MATCH(RookiAllStarDelib[[#This Row],[Team Number]], OfficialTeamList[Team '#],0))),"",INDEX(OfficialTeamList[Team Name],MATCH(RookiAllStarDelib[[#This Row],[Team Number]], OfficialTeamList[Team '#],0)))</f>
        <v/>
      </c>
      <c r="I46" s="5" t="e">
        <f>IF(ISNA(INDEX(TournamentData[Champion''s Rank],MATCH(RookiAllStarDelib[[#This Row],[Team Number]],TournamentData[Team '#],0))),NumberOfTeams+1,INDEX(TournamentData[Champion''s Rank],MATCH(RookiAllStarDelib[[#This Row],[Team Number]],TournamentData[Team '#],0)))</f>
        <v>#NAME?</v>
      </c>
      <c r="M46" s="5" t="str">
        <f>IF(ISNA(INDEX(OfficialTeamList[Team Name],MATCH(MotivateDelib[[#This Row],[Team Number]], OfficialTeamList[Team '#],0))),"",INDEX(OfficialTeamList[Team Name],MATCH(MotivateDelib[[#This Row],[Team Number]], OfficialTeamList[Team '#],0)))</f>
        <v/>
      </c>
      <c r="N46" s="5" t="e">
        <f>IF(ISNA(INDEX(TournamentData[Champion''s Rank],MATCH(MotivateDelib[[#This Row],[Team Number]],TournamentData[Team '#],0))),NumberOfTeams+1,INDEX(TournamentData[Champion''s Rank],MATCH(MotivateDelib[[#This Row],[Team Number]],TournamentData[Team '#],0)))</f>
        <v>#NAME?</v>
      </c>
    </row>
    <row r="47" spans="2:15" ht="20.25" customHeight="1" x14ac:dyDescent="0.25">
      <c r="C47" s="5" t="str">
        <f>IF(ISNA(INDEX(OfficialTeamList[Team Name],MATCH(BreakthroughDelib[[#This Row],[Team Number]], OfficialTeamList[Team '#],0))),"",INDEX(OfficialTeamList[Team Name],MATCH(BreakthroughDelib[[#This Row],[Team Number]], OfficialTeamList[Team '#],0)))</f>
        <v/>
      </c>
      <c r="D47" s="5" t="e">
        <f>IF(ISNA(INDEX(TournamentData[Champion''s Rank],MATCH(BreakthroughDelib[[#This Row],[Team Number]],TournamentData[Team '#],0))),NumberOfTeams+1,INDEX(TournamentData[Champion''s Rank],MATCH(BreakthroughDelib[[#This Row],[Team Number]],TournamentData[Team '#],0)))</f>
        <v>#NAME?</v>
      </c>
      <c r="H47" s="5" t="str">
        <f>IF(ISNA(INDEX(OfficialTeamList[Team Name],MATCH(RookiAllStarDelib[[#This Row],[Team Number]], OfficialTeamList[Team '#],0))),"",INDEX(OfficialTeamList[Team Name],MATCH(RookiAllStarDelib[[#This Row],[Team Number]], OfficialTeamList[Team '#],0)))</f>
        <v/>
      </c>
      <c r="I47" s="5" t="e">
        <f>IF(ISNA(INDEX(TournamentData[Champion''s Rank],MATCH(RookiAllStarDelib[[#This Row],[Team Number]],TournamentData[Team '#],0))),NumberOfTeams+1,INDEX(TournamentData[Champion''s Rank],MATCH(RookiAllStarDelib[[#This Row],[Team Number]],TournamentData[Team '#],0)))</f>
        <v>#NAME?</v>
      </c>
      <c r="M47" s="5" t="str">
        <f>IF(ISNA(INDEX(OfficialTeamList[Team Name],MATCH(MotivateDelib[[#This Row],[Team Number]], OfficialTeamList[Team '#],0))),"",INDEX(OfficialTeamList[Team Name],MATCH(MotivateDelib[[#This Row],[Team Number]], OfficialTeamList[Team '#],0)))</f>
        <v/>
      </c>
      <c r="N47" s="5" t="e">
        <f>IF(ISNA(INDEX(TournamentData[Champion''s Rank],MATCH(MotivateDelib[[#This Row],[Team Number]],TournamentData[Team '#],0))),NumberOfTeams+1,INDEX(TournamentData[Champion''s Rank],MATCH(MotivateDelib[[#This Row],[Team Number]],TournamentData[Team '#],0)))</f>
        <v>#NAME?</v>
      </c>
    </row>
    <row r="48" spans="2:15" ht="20.25" customHeight="1" x14ac:dyDescent="0.25">
      <c r="C48" s="5" t="str">
        <f>IF(ISNA(INDEX(OfficialTeamList[Team Name],MATCH(BreakthroughDelib[[#This Row],[Team Number]], OfficialTeamList[Team '#],0))),"",INDEX(OfficialTeamList[Team Name],MATCH(BreakthroughDelib[[#This Row],[Team Number]], OfficialTeamList[Team '#],0)))</f>
        <v/>
      </c>
      <c r="D48" s="5" t="e">
        <f>IF(ISNA(INDEX(TournamentData[Champion''s Rank],MATCH(BreakthroughDelib[[#This Row],[Team Number]],TournamentData[Team '#],0))),NumberOfTeams+1,INDEX(TournamentData[Champion''s Rank],MATCH(BreakthroughDelib[[#This Row],[Team Number]],TournamentData[Team '#],0)))</f>
        <v>#NAME?</v>
      </c>
      <c r="H48" s="5" t="str">
        <f>IF(ISNA(INDEX(OfficialTeamList[Team Name],MATCH(RookiAllStarDelib[[#This Row],[Team Number]], OfficialTeamList[Team '#],0))),"",INDEX(OfficialTeamList[Team Name],MATCH(RookiAllStarDelib[[#This Row],[Team Number]], OfficialTeamList[Team '#],0)))</f>
        <v/>
      </c>
      <c r="I48" s="5" t="e">
        <f>IF(ISNA(INDEX(TournamentData[Champion''s Rank],MATCH(RookiAllStarDelib[[#This Row],[Team Number]],TournamentData[Team '#],0))),NumberOfTeams+1,INDEX(TournamentData[Champion''s Rank],MATCH(RookiAllStarDelib[[#This Row],[Team Number]],TournamentData[Team '#],0)))</f>
        <v>#NAME?</v>
      </c>
      <c r="M48" s="5" t="str">
        <f>IF(ISNA(INDEX(OfficialTeamList[Team Name],MATCH(MotivateDelib[[#This Row],[Team Number]], OfficialTeamList[Team '#],0))),"",INDEX(OfficialTeamList[Team Name],MATCH(MotivateDelib[[#This Row],[Team Number]], OfficialTeamList[Team '#],0)))</f>
        <v/>
      </c>
      <c r="N48" s="5" t="e">
        <f>IF(ISNA(INDEX(TournamentData[Champion''s Rank],MATCH(MotivateDelib[[#This Row],[Team Number]],TournamentData[Team '#],0))),NumberOfTeams+1,INDEX(TournamentData[Champion''s Rank],MATCH(MotivateDelib[[#This Row],[Team Number]],TournamentData[Team '#],0)))</f>
        <v>#NAME?</v>
      </c>
    </row>
    <row r="49" spans="3:14" ht="20.25" customHeight="1" x14ac:dyDescent="0.25">
      <c r="C49" s="5" t="str">
        <f>IF(ISNA(INDEX(OfficialTeamList[Team Name],MATCH(BreakthroughDelib[[#This Row],[Team Number]], OfficialTeamList[Team '#],0))),"",INDEX(OfficialTeamList[Team Name],MATCH(BreakthroughDelib[[#This Row],[Team Number]], OfficialTeamList[Team '#],0)))</f>
        <v/>
      </c>
      <c r="D49" s="5" t="e">
        <f>IF(ISNA(INDEX(TournamentData[Champion''s Rank],MATCH(BreakthroughDelib[[#This Row],[Team Number]],TournamentData[Team '#],0))),NumberOfTeams+1,INDEX(TournamentData[Champion''s Rank],MATCH(BreakthroughDelib[[#This Row],[Team Number]],TournamentData[Team '#],0)))</f>
        <v>#NAME?</v>
      </c>
      <c r="H49" s="5" t="str">
        <f>IF(ISNA(INDEX(OfficialTeamList[Team Name],MATCH(RookiAllStarDelib[[#This Row],[Team Number]], OfficialTeamList[Team '#],0))),"",INDEX(OfficialTeamList[Team Name],MATCH(RookiAllStarDelib[[#This Row],[Team Number]], OfficialTeamList[Team '#],0)))</f>
        <v/>
      </c>
      <c r="I49" s="5" t="e">
        <f>IF(ISNA(INDEX(TournamentData[Champion''s Rank],MATCH(RookiAllStarDelib[[#This Row],[Team Number]],TournamentData[Team '#],0))),NumberOfTeams+1,INDEX(TournamentData[Champion''s Rank],MATCH(RookiAllStarDelib[[#This Row],[Team Number]],TournamentData[Team '#],0)))</f>
        <v>#NAME?</v>
      </c>
      <c r="M49" s="5" t="str">
        <f>IF(ISNA(INDEX(OfficialTeamList[Team Name],MATCH(MotivateDelib[[#This Row],[Team Number]], OfficialTeamList[Team '#],0))),"",INDEX(OfficialTeamList[Team Name],MATCH(MotivateDelib[[#This Row],[Team Number]], OfficialTeamList[Team '#],0)))</f>
        <v/>
      </c>
      <c r="N49" s="5" t="e">
        <f>IF(ISNA(INDEX(TournamentData[Champion''s Rank],MATCH(MotivateDelib[[#This Row],[Team Number]],TournamentData[Team '#],0))),NumberOfTeams+1,INDEX(TournamentData[Champion''s Rank],MATCH(MotivateDelib[[#This Row],[Team Number]],TournamentData[Team '#],0)))</f>
        <v>#NAME?</v>
      </c>
    </row>
    <row r="50" spans="3:14" ht="20.25" customHeight="1" x14ac:dyDescent="0.25">
      <c r="C50" s="5" t="str">
        <f>IF(ISNA(INDEX(OfficialTeamList[Team Name],MATCH(BreakthroughDelib[[#This Row],[Team Number]], OfficialTeamList[Team '#],0))),"",INDEX(OfficialTeamList[Team Name],MATCH(BreakthroughDelib[[#This Row],[Team Number]], OfficialTeamList[Team '#],0)))</f>
        <v/>
      </c>
      <c r="D50" s="5" t="e">
        <f>IF(ISNA(INDEX(TournamentData[Champion''s Rank],MATCH(BreakthroughDelib[[#This Row],[Team Number]],TournamentData[Team '#],0))),NumberOfTeams+1,INDEX(TournamentData[Champion''s Rank],MATCH(BreakthroughDelib[[#This Row],[Team Number]],TournamentData[Team '#],0)))</f>
        <v>#NAME?</v>
      </c>
      <c r="H50" s="5" t="str">
        <f>IF(ISNA(INDEX(OfficialTeamList[Team Name],MATCH(RookiAllStarDelib[[#This Row],[Team Number]], OfficialTeamList[Team '#],0))),"",INDEX(OfficialTeamList[Team Name],MATCH(RookiAllStarDelib[[#This Row],[Team Number]], OfficialTeamList[Team '#],0)))</f>
        <v/>
      </c>
      <c r="I50" s="5" t="e">
        <f>IF(ISNA(INDEX(TournamentData[Champion''s Rank],MATCH(RookiAllStarDelib[[#This Row],[Team Number]],TournamentData[Team '#],0))),NumberOfTeams+1,INDEX(TournamentData[Champion''s Rank],MATCH(RookiAllStarDelib[[#This Row],[Team Number]],TournamentData[Team '#],0)))</f>
        <v>#NAME?</v>
      </c>
      <c r="M50" s="5" t="str">
        <f>IF(ISNA(INDEX(OfficialTeamList[Team Name],MATCH(MotivateDelib[[#This Row],[Team Number]], OfficialTeamList[Team '#],0))),"",INDEX(OfficialTeamList[Team Name],MATCH(MotivateDelib[[#This Row],[Team Number]], OfficialTeamList[Team '#],0)))</f>
        <v/>
      </c>
      <c r="N50" s="5" t="e">
        <f>IF(ISNA(INDEX(TournamentData[Champion''s Rank],MATCH(MotivateDelib[[#This Row],[Team Number]],TournamentData[Team '#],0))),NumberOfTeams+1,INDEX(TournamentData[Champion''s Rank],MATCH(MotivateDelib[[#This Row],[Team Number]],TournamentData[Team '#],0)))</f>
        <v>#NAME?</v>
      </c>
    </row>
    <row r="51" spans="3:14" ht="20.25" customHeight="1" x14ac:dyDescent="0.25">
      <c r="C51" s="5" t="str">
        <f>IF(ISNA(INDEX(OfficialTeamList[Team Name],MATCH(BreakthroughDelib[[#This Row],[Team Number]], OfficialTeamList[Team '#],0))),"",INDEX(OfficialTeamList[Team Name],MATCH(BreakthroughDelib[[#This Row],[Team Number]], OfficialTeamList[Team '#],0)))</f>
        <v/>
      </c>
      <c r="D51" s="5" t="e">
        <f>IF(ISNA(INDEX(TournamentData[Champion''s Rank],MATCH(BreakthroughDelib[[#This Row],[Team Number]],TournamentData[Team '#],0))),NumberOfTeams+1,INDEX(TournamentData[Champion''s Rank],MATCH(BreakthroughDelib[[#This Row],[Team Number]],TournamentData[Team '#],0)))</f>
        <v>#NAME?</v>
      </c>
      <c r="H51" s="5" t="str">
        <f>IF(ISNA(INDEX(OfficialTeamList[Team Name],MATCH(RookiAllStarDelib[[#This Row],[Team Number]], OfficialTeamList[Team '#],0))),"",INDEX(OfficialTeamList[Team Name],MATCH(RookiAllStarDelib[[#This Row],[Team Number]], OfficialTeamList[Team '#],0)))</f>
        <v/>
      </c>
      <c r="I51" s="5" t="e">
        <f>IF(ISNA(INDEX(TournamentData[Champion''s Rank],MATCH(RookiAllStarDelib[[#This Row],[Team Number]],TournamentData[Team '#],0))),NumberOfTeams+1,INDEX(TournamentData[Champion''s Rank],MATCH(RookiAllStarDelib[[#This Row],[Team Number]],TournamentData[Team '#],0)))</f>
        <v>#NAME?</v>
      </c>
      <c r="M51" s="5" t="str">
        <f>IF(ISNA(INDEX(OfficialTeamList[Team Name],MATCH(MotivateDelib[[#This Row],[Team Number]], OfficialTeamList[Team '#],0))),"",INDEX(OfficialTeamList[Team Name],MATCH(MotivateDelib[[#This Row],[Team Number]], OfficialTeamList[Team '#],0)))</f>
        <v/>
      </c>
      <c r="N51" s="5" t="e">
        <f>IF(ISNA(INDEX(TournamentData[Champion''s Rank],MATCH(MotivateDelib[[#This Row],[Team Number]],TournamentData[Team '#],0))),NumberOfTeams+1,INDEX(TournamentData[Champion''s Rank],MATCH(MotivateDelib[[#This Row],[Team Number]],TournamentData[Team '#],0)))</f>
        <v>#NAME?</v>
      </c>
    </row>
    <row r="52" spans="3:14" ht="20.25" customHeight="1" x14ac:dyDescent="0.25">
      <c r="C52" s="5" t="str">
        <f>IF(ISNA(INDEX(OfficialTeamList[Team Name],MATCH(BreakthroughDelib[[#This Row],[Team Number]], OfficialTeamList[Team '#],0))),"",INDEX(OfficialTeamList[Team Name],MATCH(BreakthroughDelib[[#This Row],[Team Number]], OfficialTeamList[Team '#],0)))</f>
        <v/>
      </c>
      <c r="D52" s="5" t="e">
        <f>IF(ISNA(INDEX(TournamentData[Champion''s Rank],MATCH(BreakthroughDelib[[#This Row],[Team Number]],TournamentData[Team '#],0))),NumberOfTeams+1,INDEX(TournamentData[Champion''s Rank],MATCH(BreakthroughDelib[[#This Row],[Team Number]],TournamentData[Team '#],0)))</f>
        <v>#NAME?</v>
      </c>
      <c r="H52" s="5" t="str">
        <f>IF(ISNA(INDEX(OfficialTeamList[Team Name],MATCH(RookiAllStarDelib[[#This Row],[Team Number]], OfficialTeamList[Team '#],0))),"",INDEX(OfficialTeamList[Team Name],MATCH(RookiAllStarDelib[[#This Row],[Team Number]], OfficialTeamList[Team '#],0)))</f>
        <v/>
      </c>
      <c r="I52" s="5" t="e">
        <f>IF(ISNA(INDEX(TournamentData[Champion''s Rank],MATCH(RookiAllStarDelib[[#This Row],[Team Number]],TournamentData[Team '#],0))),NumberOfTeams+1,INDEX(TournamentData[Champion''s Rank],MATCH(RookiAllStarDelib[[#This Row],[Team Number]],TournamentData[Team '#],0)))</f>
        <v>#NAME?</v>
      </c>
      <c r="M52" s="5" t="str">
        <f>IF(ISNA(INDEX(OfficialTeamList[Team Name],MATCH(MotivateDelib[[#This Row],[Team Number]], OfficialTeamList[Team '#],0))),"",INDEX(OfficialTeamList[Team Name],MATCH(MotivateDelib[[#This Row],[Team Number]], OfficialTeamList[Team '#],0)))</f>
        <v/>
      </c>
      <c r="N52" s="5" t="e">
        <f>IF(ISNA(INDEX(TournamentData[Champion''s Rank],MATCH(MotivateDelib[[#This Row],[Team Number]],TournamentData[Team '#],0))),NumberOfTeams+1,INDEX(TournamentData[Champion''s Rank],MATCH(MotivateDelib[[#This Row],[Team Number]],TournamentData[Team '#],0)))</f>
        <v>#NAME?</v>
      </c>
    </row>
    <row r="53" spans="3:14" ht="20.25" customHeight="1" x14ac:dyDescent="0.25">
      <c r="C53" s="5" t="str">
        <f>IF(ISNA(INDEX(OfficialTeamList[Team Name],MATCH(BreakthroughDelib[[#This Row],[Team Number]], OfficialTeamList[Team '#],0))),"",INDEX(OfficialTeamList[Team Name],MATCH(BreakthroughDelib[[#This Row],[Team Number]], OfficialTeamList[Team '#],0)))</f>
        <v/>
      </c>
      <c r="D53" s="5" t="e">
        <f>IF(ISNA(INDEX(TournamentData[Champion''s Rank],MATCH(BreakthroughDelib[[#This Row],[Team Number]],TournamentData[Team '#],0))),NumberOfTeams+1,INDEX(TournamentData[Champion''s Rank],MATCH(BreakthroughDelib[[#This Row],[Team Number]],TournamentData[Team '#],0)))</f>
        <v>#NAME?</v>
      </c>
      <c r="H53" s="5" t="str">
        <f>IF(ISNA(INDEX(OfficialTeamList[Team Name],MATCH(RookiAllStarDelib[[#This Row],[Team Number]], OfficialTeamList[Team '#],0))),"",INDEX(OfficialTeamList[Team Name],MATCH(RookiAllStarDelib[[#This Row],[Team Number]], OfficialTeamList[Team '#],0)))</f>
        <v/>
      </c>
      <c r="I53" s="5" t="e">
        <f>IF(ISNA(INDEX(TournamentData[Champion''s Rank],MATCH(RookiAllStarDelib[[#This Row],[Team Number]],TournamentData[Team '#],0))),NumberOfTeams+1,INDEX(TournamentData[Champion''s Rank],MATCH(RookiAllStarDelib[[#This Row],[Team Number]],TournamentData[Team '#],0)))</f>
        <v>#NAME?</v>
      </c>
      <c r="M53" s="5" t="str">
        <f>IF(ISNA(INDEX(OfficialTeamList[Team Name],MATCH(MotivateDelib[[#This Row],[Team Number]], OfficialTeamList[Team '#],0))),"",INDEX(OfficialTeamList[Team Name],MATCH(MotivateDelib[[#This Row],[Team Number]], OfficialTeamList[Team '#],0)))</f>
        <v/>
      </c>
      <c r="N53" s="5" t="e">
        <f>IF(ISNA(INDEX(TournamentData[Champion''s Rank],MATCH(MotivateDelib[[#This Row],[Team Number]],TournamentData[Team '#],0))),NumberOfTeams+1,INDEX(TournamentData[Champion''s Rank],MATCH(MotivateDelib[[#This Row],[Team Number]],TournamentData[Team '#],0)))</f>
        <v>#NAME?</v>
      </c>
    </row>
    <row r="54" spans="3:14" ht="20.25" customHeight="1" x14ac:dyDescent="0.25">
      <c r="C54" s="5" t="str">
        <f>IF(ISNA(INDEX(OfficialTeamList[Team Name],MATCH(BreakthroughDelib[[#This Row],[Team Number]], OfficialTeamList[Team '#],0))),"",INDEX(OfficialTeamList[Team Name],MATCH(BreakthroughDelib[[#This Row],[Team Number]], OfficialTeamList[Team '#],0)))</f>
        <v/>
      </c>
      <c r="D54" s="5" t="e">
        <f>IF(ISNA(INDEX(TournamentData[Champion''s Rank],MATCH(BreakthroughDelib[[#This Row],[Team Number]],TournamentData[Team '#],0))),NumberOfTeams+1,INDEX(TournamentData[Champion''s Rank],MATCH(BreakthroughDelib[[#This Row],[Team Number]],TournamentData[Team '#],0)))</f>
        <v>#NAME?</v>
      </c>
      <c r="H54" s="5" t="str">
        <f>IF(ISNA(INDEX(OfficialTeamList[Team Name],MATCH(RookiAllStarDelib[[#This Row],[Team Number]], OfficialTeamList[Team '#],0))),"",INDEX(OfficialTeamList[Team Name],MATCH(RookiAllStarDelib[[#This Row],[Team Number]], OfficialTeamList[Team '#],0)))</f>
        <v/>
      </c>
      <c r="I54" s="5" t="e">
        <f>IF(ISNA(INDEX(TournamentData[Champion''s Rank],MATCH(RookiAllStarDelib[[#This Row],[Team Number]],TournamentData[Team '#],0))),NumberOfTeams+1,INDEX(TournamentData[Champion''s Rank],MATCH(RookiAllStarDelib[[#This Row],[Team Number]],TournamentData[Team '#],0)))</f>
        <v>#NAME?</v>
      </c>
      <c r="M54" s="5" t="str">
        <f>IF(ISNA(INDEX(OfficialTeamList[Team Name],MATCH(MotivateDelib[[#This Row],[Team Number]], OfficialTeamList[Team '#],0))),"",INDEX(OfficialTeamList[Team Name],MATCH(MotivateDelib[[#This Row],[Team Number]], OfficialTeamList[Team '#],0)))</f>
        <v/>
      </c>
      <c r="N54" s="5" t="e">
        <f>IF(ISNA(INDEX(TournamentData[Champion''s Rank],MATCH(MotivateDelib[[#This Row],[Team Number]],TournamentData[Team '#],0))),NumberOfTeams+1,INDEX(TournamentData[Champion''s Rank],MATCH(MotivateDelib[[#This Row],[Team Number]],TournamentData[Team '#],0)))</f>
        <v>#NAME?</v>
      </c>
    </row>
  </sheetData>
  <sheetProtection sort="0" autoFilter="0"/>
  <pageMargins left="0.7" right="0.7" top="0.75" bottom="0.75" header="0.3" footer="0.3"/>
  <pageSetup orientation="portrait" horizontalDpi="1200" verticalDpi="1200"/>
  <tableParts count="8">
    <tablePart r:id="rId1"/>
    <tablePart r:id="rId2"/>
    <tablePart r:id="rId3"/>
    <tablePart r:id="rId4"/>
    <tablePart r:id="rId5"/>
    <tablePart r:id="rId6"/>
    <tablePart r:id="rId7"/>
    <tablePart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button id="btnChangeTeamName" label="Change Team Name" image="team" screentip="Change one team name without unlocking the roster" onAction="cbChangeTeamName"/>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Instructions</vt:lpstr>
      <vt:lpstr>Team and Program Information</vt:lpstr>
      <vt:lpstr>Data Validation</vt:lpstr>
      <vt:lpstr>Meta</vt:lpstr>
      <vt:lpstr>AwardListDropdowns</vt:lpstr>
      <vt:lpstr>AwardDef</vt:lpstr>
      <vt:lpstr>Pod Analysis</vt:lpstr>
      <vt:lpstr>Results and Rankings</vt:lpstr>
      <vt:lpstr>Robot Game Scores</vt:lpstr>
      <vt:lpstr>Innovation Project Input</vt:lpstr>
      <vt:lpstr>Robot Design Input</vt:lpstr>
      <vt:lpstr>Core Values Input</vt:lpstr>
      <vt:lpstr>GP Scores</vt:lpstr>
      <vt:lpstr>Area Deliberations</vt:lpstr>
      <vt:lpstr>AllData</vt:lpstr>
      <vt:lpstr>Awards</vt:lpstr>
      <vt:lpstr>GPScores</vt:lpstr>
      <vt:lpstr>Instructions!Print_Area</vt:lpstr>
      <vt:lpstr>'Results and Rankings'!Print_Titles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Marvin Gridley</dc:creator>
  <cp:lastModifiedBy>Skip Morrow</cp:lastModifiedBy>
  <cp:lastPrinted>2025-06-28T17:22:15Z</cp:lastPrinted>
  <dcterms:created xsi:type="dcterms:W3CDTF">2017-12-04T16:10:19Z</dcterms:created>
  <dcterms:modified xsi:type="dcterms:W3CDTF">2026-09-27T21:34:29Z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0x01010008A997C5561FD94D82BEA37A4242D399</vt:lpwstr>
  </property>
  <property fmtid="{D5CDD505-2E9C-101B-9397-08002B2CF9AE}" pid="3" name="MediaServiceImageTags">
    <vt:lpwstr/>
  </property>
</Properties>
</file>