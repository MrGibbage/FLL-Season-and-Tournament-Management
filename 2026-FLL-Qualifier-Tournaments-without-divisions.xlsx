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github-projects\FLL-Season-and-Tournament-Management\"/>
    </mc:Choice>
  </mc:AlternateContent>
  <xr:revisionPtr revIDLastSave="0" documentId="13_ncr:1_{9A9D8158-B46A-4813-9024-1247E4D96577}" xr6:coauthVersionLast="47" xr6:coauthVersionMax="47" xr10:uidLastSave="{00000000-0000-0000-0000-000000000000}"/>
  <bookViews>
    <workbookView xWindow="-120" yWindow="-120" windowWidth="38640" windowHeight="21120" activeTab="5" xr2:uid="{0852510A-0402-494B-87EA-4B91755641F1}"/>
  </bookViews>
  <sheets>
    <sheet name="Summary" sheetId="9" r:id="rId1"/>
    <sheet name="Tournaments" sheetId="7" r:id="rId2"/>
    <sheet name="DivTournaments" sheetId="11" r:id="rId3"/>
    <sheet name="Assignments" sheetId="8" r:id="rId4"/>
    <sheet name="SeasonInfo" sheetId="12" r:id="rId5"/>
    <sheet name="AwardDef" sheetId="1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7" i="9" l="1"/>
  <c r="T4" i="9"/>
  <c r="T3" i="9"/>
  <c r="S17" i="9"/>
  <c r="S4" i="9"/>
  <c r="S3" i="9"/>
  <c r="R17" i="9"/>
  <c r="R4" i="9"/>
  <c r="R3" i="9"/>
  <c r="T5" i="9"/>
  <c r="S5" i="9"/>
  <c r="R5" i="9"/>
  <c r="D5" i="9"/>
  <c r="U17" i="9"/>
  <c r="U4" i="9"/>
  <c r="U3" i="9"/>
  <c r="U5" i="9"/>
  <c r="B5" i="9"/>
  <c r="C5" i="9"/>
  <c r="E5" i="9"/>
  <c r="F5" i="9"/>
  <c r="G5" i="9"/>
  <c r="H5" i="9"/>
  <c r="I5" i="9"/>
  <c r="J5" i="9"/>
  <c r="K5" i="9"/>
  <c r="L5" i="9"/>
  <c r="M5" i="9"/>
  <c r="N5" i="9"/>
  <c r="O5" i="9"/>
  <c r="P5" i="9"/>
  <c r="Q5" i="9"/>
  <c r="C10" i="9" l="1" a="1"/>
  <c r="Q7" i="9" a="1"/>
  <c r="P8" i="9" a="1"/>
  <c r="G8" i="9" a="1"/>
  <c r="O9" i="9" a="1"/>
  <c r="E9" i="9" a="1"/>
  <c r="M10" i="9" a="1"/>
  <c r="P7" i="9" a="1"/>
  <c r="G7" i="9" a="1"/>
  <c r="O8" i="9" a="1"/>
  <c r="F8" i="9" a="1"/>
  <c r="D9" i="9" a="1"/>
  <c r="L10" i="9" a="1"/>
  <c r="O7" i="9" a="1"/>
  <c r="F7" i="9" a="1"/>
  <c r="N8" i="9" a="1"/>
  <c r="E8" i="9" a="1"/>
  <c r="N9" i="9" a="1"/>
  <c r="C9" i="9" a="1"/>
  <c r="K10" i="9" a="1"/>
  <c r="E7" i="9" a="1"/>
  <c r="D8" i="9" a="1"/>
  <c r="M9" i="9" a="1"/>
  <c r="B10" i="9" a="1"/>
  <c r="J10" i="9" a="1"/>
  <c r="N7" i="9" a="1"/>
  <c r="D7" i="9" a="1"/>
  <c r="M8" i="9" a="1"/>
  <c r="C8" i="9" a="1"/>
  <c r="L9" i="9" a="1"/>
  <c r="U10" i="9" a="1"/>
  <c r="I10" i="9" a="1"/>
  <c r="M7" i="9" a="1"/>
  <c r="C7" i="9" a="1"/>
  <c r="L8" i="9" a="1"/>
  <c r="B9" i="9" a="1"/>
  <c r="K9" i="9" a="1"/>
  <c r="T10" i="9" a="1"/>
  <c r="B7" i="9" a="1"/>
  <c r="L7" i="9" a="1"/>
  <c r="B8" i="9" a="1"/>
  <c r="K8" i="9" a="1"/>
  <c r="U9" i="9" a="1"/>
  <c r="J9" i="9" a="1"/>
  <c r="S10" i="9" a="1"/>
  <c r="H10" i="9" a="1"/>
  <c r="U7" i="9" a="1"/>
  <c r="U15" i="9" s="1"/>
  <c r="K7" i="9" a="1"/>
  <c r="U8" i="9" a="1"/>
  <c r="U16" i="9" s="1"/>
  <c r="J8" i="9" a="1"/>
  <c r="T9" i="9" a="1"/>
  <c r="I9" i="9" a="1"/>
  <c r="R10" i="9" a="1"/>
  <c r="G10" i="9" a="1"/>
  <c r="T7" i="9" a="1"/>
  <c r="T15" i="9" s="1"/>
  <c r="J7" i="9" a="1"/>
  <c r="T8" i="9" a="1"/>
  <c r="T16" i="9" s="1"/>
  <c r="I8" i="9" a="1"/>
  <c r="S9" i="9" a="1"/>
  <c r="Q10" i="9" a="1"/>
  <c r="F10" i="9" a="1"/>
  <c r="I7" i="9" a="1"/>
  <c r="S8" i="9" a="1"/>
  <c r="S16" i="9" s="1"/>
  <c r="R9" i="9" a="1"/>
  <c r="H9" i="9" a="1"/>
  <c r="P10" i="9" a="1"/>
  <c r="E10" i="9" a="1"/>
  <c r="S7" i="9" a="1"/>
  <c r="S15" i="9" s="1"/>
  <c r="R8" i="9" a="1"/>
  <c r="H8" i="9" a="1"/>
  <c r="Q9" i="9" a="1"/>
  <c r="G9" i="9" a="1"/>
  <c r="O10" i="9" a="1"/>
  <c r="D10" i="9" a="1"/>
  <c r="R7" i="9" a="1"/>
  <c r="R15" i="9" s="1"/>
  <c r="H7" i="9" a="1"/>
  <c r="Q8" i="9" a="1"/>
  <c r="P9" i="9" a="1"/>
  <c r="F9" i="9" a="1"/>
  <c r="N10" i="9" a="1"/>
  <c r="R2" i="9"/>
  <c r="T2" i="9"/>
  <c r="S2" i="9"/>
  <c r="U2" i="9"/>
  <c r="Q4" i="9"/>
  <c r="P4" i="9"/>
  <c r="O4" i="9"/>
  <c r="N4" i="9"/>
  <c r="M4" i="9"/>
  <c r="L4" i="9"/>
  <c r="K4" i="9"/>
  <c r="J4" i="9"/>
  <c r="I4" i="9"/>
  <c r="H4" i="9"/>
  <c r="G4" i="9"/>
  <c r="F4" i="9"/>
  <c r="E4" i="9"/>
  <c r="D4" i="9"/>
  <c r="C4" i="9"/>
  <c r="Q3" i="9"/>
  <c r="P3" i="9"/>
  <c r="O3" i="9"/>
  <c r="N3" i="9"/>
  <c r="M3" i="9"/>
  <c r="L3" i="9"/>
  <c r="K3" i="9"/>
  <c r="J3" i="9"/>
  <c r="I3" i="9"/>
  <c r="H3" i="9"/>
  <c r="G3" i="9"/>
  <c r="F3" i="9"/>
  <c r="E3" i="9"/>
  <c r="D3" i="9"/>
  <c r="C3" i="9"/>
  <c r="B4" i="9"/>
  <c r="B3" i="9"/>
  <c r="Q17" i="9"/>
  <c r="P17" i="9"/>
  <c r="O17" i="9"/>
  <c r="N17" i="9"/>
  <c r="M17" i="9"/>
  <c r="L17" i="9"/>
  <c r="K17" i="9"/>
  <c r="J17" i="9"/>
  <c r="I17" i="9"/>
  <c r="H17" i="9"/>
  <c r="G17" i="9"/>
  <c r="F17" i="9"/>
  <c r="E17" i="9"/>
  <c r="D17" i="9"/>
  <c r="C17" i="9"/>
  <c r="B17" i="9"/>
  <c r="N16" i="9" l="1"/>
  <c r="Q11" i="9"/>
  <c r="E11" i="9"/>
  <c r="C11" i="9"/>
  <c r="O11" i="9"/>
  <c r="G16" i="9"/>
  <c r="L12" i="9"/>
  <c r="M11" i="9"/>
  <c r="N12" i="9"/>
  <c r="F11" i="9"/>
  <c r="B16" i="9"/>
  <c r="G12" i="9"/>
  <c r="S11" i="9"/>
  <c r="I12" i="9"/>
  <c r="E12" i="9"/>
  <c r="E13" i="9" s="1"/>
  <c r="C12" i="9"/>
  <c r="J12" i="9"/>
  <c r="M12" i="9"/>
  <c r="P11" i="9"/>
  <c r="K12" i="9"/>
  <c r="J11" i="9"/>
  <c r="L11" i="9"/>
  <c r="L13" i="9" s="1"/>
  <c r="L15" i="9"/>
  <c r="M15" i="9"/>
  <c r="G11" i="9"/>
  <c r="H12" i="9"/>
  <c r="T11" i="9"/>
  <c r="I11" i="9"/>
  <c r="K16" i="9"/>
  <c r="K11" i="9"/>
  <c r="R12" i="9"/>
  <c r="R16" i="9"/>
  <c r="B11" i="9"/>
  <c r="T14" i="9"/>
  <c r="R11" i="9"/>
  <c r="H15" i="9"/>
  <c r="T12" i="9"/>
  <c r="D12" i="9"/>
  <c r="D11" i="9"/>
  <c r="R14" i="9"/>
  <c r="F16" i="9"/>
  <c r="U14" i="9"/>
  <c r="S12" i="9"/>
  <c r="H11" i="9"/>
  <c r="O12" i="9"/>
  <c r="O13" i="9" s="1"/>
  <c r="F12" i="9"/>
  <c r="S14" i="9"/>
  <c r="B12" i="9"/>
  <c r="Q12" i="9"/>
  <c r="H16" i="9"/>
  <c r="U11" i="9"/>
  <c r="U12" i="9"/>
  <c r="E16" i="9"/>
  <c r="F15" i="9"/>
  <c r="N15" i="9"/>
  <c r="P16" i="9"/>
  <c r="C16" i="9"/>
  <c r="O16" i="9"/>
  <c r="I16" i="9"/>
  <c r="N11" i="9"/>
  <c r="N13" i="9" s="1"/>
  <c r="Q15" i="9"/>
  <c r="J16" i="9"/>
  <c r="C15" i="9"/>
  <c r="O15" i="9"/>
  <c r="L16" i="9"/>
  <c r="I15" i="9"/>
  <c r="M16" i="9"/>
  <c r="D15" i="9"/>
  <c r="E15" i="9"/>
  <c r="P12" i="9"/>
  <c r="Q16" i="9"/>
  <c r="J15" i="9"/>
  <c r="K15" i="9"/>
  <c r="G15" i="9"/>
  <c r="P15" i="9"/>
  <c r="D16" i="9"/>
  <c r="B15" i="9"/>
  <c r="K2" i="9"/>
  <c r="K14" i="9" s="1"/>
  <c r="P2" i="9"/>
  <c r="P14" i="9" s="1"/>
  <c r="M2" i="9"/>
  <c r="M14" i="9" s="1"/>
  <c r="L2" i="9"/>
  <c r="L14" i="9" s="1"/>
  <c r="N2" i="9"/>
  <c r="N14" i="9" s="1"/>
  <c r="O2" i="9"/>
  <c r="O14" i="9" s="1"/>
  <c r="D2" i="9"/>
  <c r="D14" i="9" s="1"/>
  <c r="E2" i="9"/>
  <c r="E14" i="9" s="1"/>
  <c r="Q2" i="9"/>
  <c r="Q14" i="9" s="1"/>
  <c r="F2" i="9"/>
  <c r="F14" i="9" s="1"/>
  <c r="G2" i="9"/>
  <c r="G14" i="9" s="1"/>
  <c r="I2" i="9"/>
  <c r="I14" i="9" s="1"/>
  <c r="J2" i="9"/>
  <c r="J14" i="9" s="1"/>
  <c r="H2" i="9"/>
  <c r="H14" i="9" s="1"/>
  <c r="C2" i="9"/>
  <c r="C14" i="9" s="1"/>
  <c r="B2" i="9"/>
  <c r="B14" i="9" s="1"/>
  <c r="C13" i="9" l="1"/>
  <c r="Q13" i="9"/>
  <c r="G13" i="9"/>
  <c r="F13" i="9"/>
  <c r="I13" i="9"/>
  <c r="J13" i="9"/>
  <c r="S13" i="9"/>
  <c r="M13" i="9"/>
  <c r="P13" i="9"/>
  <c r="K13" i="9"/>
  <c r="H13" i="9"/>
  <c r="R13" i="9"/>
  <c r="T13" i="9"/>
  <c r="B13" i="9"/>
  <c r="D13" i="9"/>
  <c r="U13"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<sst xmlns="http://schemas.openxmlformats.org/spreadsheetml/2006/main" count="1809" uniqueCount="1213">
  <si>
    <t>Ribbons</t>
  </si>
  <si>
    <t>Martinsville</t>
  </si>
  <si>
    <t>Norfolk</t>
  </si>
  <si>
    <t>Blacksburg</t>
  </si>
  <si>
    <t>Abingdon</t>
  </si>
  <si>
    <t>Charlottesville</t>
  </si>
  <si>
    <t>Richmond</t>
  </si>
  <si>
    <t>Ashburn</t>
  </si>
  <si>
    <t>DC-McKinley</t>
  </si>
  <si>
    <t>DC-Friendship</t>
  </si>
  <si>
    <t>Alexandria</t>
  </si>
  <si>
    <t>Short Name</t>
  </si>
  <si>
    <t>Long Name</t>
  </si>
  <si>
    <t>Year</t>
  </si>
  <si>
    <t>Season Name</t>
  </si>
  <si>
    <t>Item</t>
  </si>
  <si>
    <t>Date</t>
  </si>
  <si>
    <t>Team Name</t>
  </si>
  <si>
    <t>Coach Name</t>
  </si>
  <si>
    <t>Organization</t>
  </si>
  <si>
    <t>Div</t>
  </si>
  <si>
    <t>Mem</t>
  </si>
  <si>
    <t>State?</t>
  </si>
  <si>
    <t>ADV</t>
  </si>
  <si>
    <t>Newport_News</t>
  </si>
  <si>
    <t>Glen_Allen</t>
  </si>
  <si>
    <t>Manassas_1</t>
  </si>
  <si>
    <t>Manassas_2</t>
  </si>
  <si>
    <t>D1 Judged Awards</t>
  </si>
  <si>
    <t>D2 Judged Awards</t>
  </si>
  <si>
    <t>D1 Robot Perf Awards</t>
  </si>
  <si>
    <t>D2 Robot Perf Awards</t>
  </si>
  <si>
    <t>Judged Awards Per Team</t>
  </si>
  <si>
    <t>D1 Awards</t>
  </si>
  <si>
    <t>D2 Awards</t>
  </si>
  <si>
    <t>Total Teams</t>
  </si>
  <si>
    <t>Total Teams D1</t>
  </si>
  <si>
    <t>Total Teams D2</t>
  </si>
  <si>
    <t>Judges Awards</t>
  </si>
  <si>
    <t>Volunteer Awards</t>
  </si>
  <si>
    <t>Judged Awards Per D1 Team</t>
  </si>
  <si>
    <t>Judged Awards Per D2 Team</t>
  </si>
  <si>
    <t>Total Tournament Awards</t>
  </si>
  <si>
    <t>Key</t>
  </si>
  <si>
    <t>Value</t>
  </si>
  <si>
    <t>Test</t>
  </si>
  <si>
    <t>Henrico_Godwin</t>
  </si>
  <si>
    <t>Henrico_Freeman</t>
  </si>
  <si>
    <t>Chantilly</t>
  </si>
  <si>
    <t>Hayfield_1</t>
  </si>
  <si>
    <t>Hayfield_2</t>
  </si>
  <si>
    <t>Jennifer Vermillion</t>
  </si>
  <si>
    <t>David Shin</t>
  </si>
  <si>
    <t>Tammy Allen</t>
  </si>
  <si>
    <t>Chenoa Montgomery</t>
  </si>
  <si>
    <t xml:space="preserve">Jennifer Payne </t>
  </si>
  <si>
    <t>Brandy  Higgins</t>
  </si>
  <si>
    <t>Ashley Townsend</t>
  </si>
  <si>
    <t>Phyllis Meade</t>
  </si>
  <si>
    <t>Kimberly Babcock</t>
  </si>
  <si>
    <t>Christy Foley</t>
  </si>
  <si>
    <t>Amy Ridenour</t>
  </si>
  <si>
    <t>Pam Colbert</t>
  </si>
  <si>
    <t>Justin Upchurch</t>
  </si>
  <si>
    <t>Jennifer Nemo</t>
  </si>
  <si>
    <t>Eric Goff</t>
  </si>
  <si>
    <t>DeeJean Mendez</t>
  </si>
  <si>
    <t>Thomas  Eby</t>
  </si>
  <si>
    <t>Lolita Clark</t>
  </si>
  <si>
    <t>Arnina Johnson</t>
  </si>
  <si>
    <t>Chelsea Simpson</t>
  </si>
  <si>
    <t>Brittany Hamlin</t>
  </si>
  <si>
    <t>Drew Mosley</t>
  </si>
  <si>
    <t>Theresa Goltermann</t>
  </si>
  <si>
    <t>Patrick McFadden</t>
  </si>
  <si>
    <t>Jessica Fields</t>
  </si>
  <si>
    <t>Juliet Bellinger</t>
  </si>
  <si>
    <t>Laura Nelson-Rogers</t>
  </si>
  <si>
    <t>Stephen Auth</t>
  </si>
  <si>
    <t>Dustyn Crocco</t>
  </si>
  <si>
    <t>Anton Riedl</t>
  </si>
  <si>
    <t>brandy Bergenstock</t>
  </si>
  <si>
    <t>Catianna Jackson</t>
  </si>
  <si>
    <t>Suzanne Sloan</t>
  </si>
  <si>
    <t>Kevin Green</t>
  </si>
  <si>
    <t>John Sammons</t>
  </si>
  <si>
    <t>Jonathan Torch</t>
  </si>
  <si>
    <t>Kathy Hendrickson</t>
  </si>
  <si>
    <t>Kiel Phillips</t>
  </si>
  <si>
    <t>Skip Morrow</t>
  </si>
  <si>
    <t>Heather Perry</t>
  </si>
  <si>
    <t>Jhalak Pattnaik</t>
  </si>
  <si>
    <t>Lisa Bromley</t>
  </si>
  <si>
    <t>Hillary Goldsmith</t>
  </si>
  <si>
    <t>Kevin Schatz</t>
  </si>
  <si>
    <t>Megan Grant</t>
  </si>
  <si>
    <t>Paul Rodi</t>
  </si>
  <si>
    <t>Brian Watson</t>
  </si>
  <si>
    <t>Carrie Simmons</t>
  </si>
  <si>
    <t>Thomas Maine</t>
  </si>
  <si>
    <t>Mildred Britt</t>
  </si>
  <si>
    <t>Mattie Wezah</t>
  </si>
  <si>
    <t>Divisions</t>
  </si>
  <si>
    <t>P_AWD_RG</t>
  </si>
  <si>
    <t>J_AWD_CHAMP</t>
  </si>
  <si>
    <t>J_AWD_IP</t>
  </si>
  <si>
    <t>J_AWD_RD</t>
  </si>
  <si>
    <t>J_AWD_CV</t>
  </si>
  <si>
    <t>J_AWD_Judges</t>
  </si>
  <si>
    <t>J_AWD_BT</t>
  </si>
  <si>
    <t>J_AWD_RisAll</t>
  </si>
  <si>
    <t>J_AWD_CL</t>
  </si>
  <si>
    <t>Name</t>
  </si>
  <si>
    <t>TournCount</t>
  </si>
  <si>
    <t>D1Count</t>
  </si>
  <si>
    <t>D2Count</t>
  </si>
  <si>
    <t>Label1</t>
  </si>
  <si>
    <t>Label2</t>
  </si>
  <si>
    <t>Label3</t>
  </si>
  <si>
    <t>Champions</t>
  </si>
  <si>
    <t>Champions 1st Place</t>
  </si>
  <si>
    <t>Champions 2nd Place</t>
  </si>
  <si>
    <t>Champions 3rd Place</t>
  </si>
  <si>
    <t>Robot Design</t>
  </si>
  <si>
    <t>Robot Design 1st Place</t>
  </si>
  <si>
    <t>Robot Design 2nd Place</t>
  </si>
  <si>
    <t>Robot Design 3rd Place</t>
  </si>
  <si>
    <t>Innovation Project</t>
  </si>
  <si>
    <t>Innovation Project 1st Place</t>
  </si>
  <si>
    <t>Innovation Project 2nd Place</t>
  </si>
  <si>
    <t>Innovation Project 3rd Place</t>
  </si>
  <si>
    <t>Core Values</t>
  </si>
  <si>
    <t>Core Values 1st Place</t>
  </si>
  <si>
    <t>Core Values 2nd Place</t>
  </si>
  <si>
    <t>Core Values 3rd Place</t>
  </si>
  <si>
    <t>Judges</t>
  </si>
  <si>
    <t>Judges 1</t>
  </si>
  <si>
    <t>Judges 2</t>
  </si>
  <si>
    <t>Judges 3</t>
  </si>
  <si>
    <t>Robot Game</t>
  </si>
  <si>
    <t>Robot Game 1st Place</t>
  </si>
  <si>
    <t>Robot Game 2nd Place</t>
  </si>
  <si>
    <t>Robot Game 3rd Place</t>
  </si>
  <si>
    <t>Helper</t>
  </si>
  <si>
    <t>DivAward</t>
  </si>
  <si>
    <t>ColumnName</t>
  </si>
  <si>
    <t>Breakthrough</t>
  </si>
  <si>
    <t>Rising Allstar</t>
  </si>
  <si>
    <t>Community Leader</t>
  </si>
  <si>
    <t>Breakthrough 1st Place</t>
  </si>
  <si>
    <t>Breakthrough 2nd Place</t>
  </si>
  <si>
    <t>Breakthrough 3rd Place</t>
  </si>
  <si>
    <t>Rising Allstar 1st Place</t>
  </si>
  <si>
    <t>Rising Allstar 2nd Place</t>
  </si>
  <si>
    <t>Rising Allstar 3rd Place</t>
  </si>
  <si>
    <t>Community Leader 1st Place</t>
  </si>
  <si>
    <t>Community Leader 2nd Place</t>
  </si>
  <si>
    <t>Community Leader 3rd Place</t>
  </si>
  <si>
    <t>Advancing</t>
  </si>
  <si>
    <t>Advancing 1</t>
  </si>
  <si>
    <t>Advancing 2</t>
  </si>
  <si>
    <t>Advancing 3</t>
  </si>
  <si>
    <t>OJS_FileName</t>
  </si>
  <si>
    <t>ScriptTagD1</t>
  </si>
  <si>
    <t>ScriptTagD2</t>
  </si>
  <si>
    <t>ScriptTagNoDiv</t>
  </si>
  <si>
    <t>J_AWD_CHAMP_D1</t>
  </si>
  <si>
    <t>J_AWD_RD_D1</t>
  </si>
  <si>
    <t>J_AWD_IP_D1</t>
  </si>
  <si>
    <t>J_AWD_CV_D1</t>
  </si>
  <si>
    <t>ADV_D1</t>
  </si>
  <si>
    <t>J_AWD_CHAMP_D2</t>
  </si>
  <si>
    <t>J_AWD_RD_D2</t>
  </si>
  <si>
    <t>J_AWD_IP_D2</t>
  </si>
  <si>
    <t>J_AWD_CV_D2</t>
  </si>
  <si>
    <t>ADV_D2</t>
  </si>
  <si>
    <t>P_AWD_RG_D1</t>
  </si>
  <si>
    <t>P_AWD_RG_D2</t>
  </si>
  <si>
    <t>Team #</t>
  </si>
  <si>
    <t>Rivermount_Haven</t>
  </si>
  <si>
    <t>Solara_Crest</t>
  </si>
  <si>
    <t>Brindlewick</t>
  </si>
  <si>
    <t>Northfall_Reach</t>
  </si>
  <si>
    <t>Marinth_Bay</t>
  </si>
  <si>
    <t>Ironvale_Junction</t>
  </si>
  <si>
    <t>Cinderbrook</t>
  </si>
  <si>
    <t>Velastra_Heights</t>
  </si>
  <si>
    <t>Port_Halcyon</t>
  </si>
  <si>
    <t>Thornridge_Hollow</t>
  </si>
  <si>
    <t>Azurefen_City</t>
  </si>
  <si>
    <t>Redspire_Bluff</t>
  </si>
  <si>
    <t>Kestrelford</t>
  </si>
  <si>
    <t>Moonwell_Harbor</t>
  </si>
  <si>
    <t>Driftstone_Flats</t>
  </si>
  <si>
    <t>Silverhollow</t>
  </si>
  <si>
    <t>Windmere_Gate</t>
  </si>
  <si>
    <t>Praxion_Delta</t>
  </si>
  <si>
    <t xml:space="preserve">Gear Gurus  </t>
  </si>
  <si>
    <t xml:space="preserve">Robo Rascals  </t>
  </si>
  <si>
    <t xml:space="preserve">Byte‑Sized Builders  </t>
  </si>
  <si>
    <t xml:space="preserve">Circuit Surfers  </t>
  </si>
  <si>
    <t xml:space="preserve">Bot Brigade  </t>
  </si>
  <si>
    <t xml:space="preserve">The Debuggers  </t>
  </si>
  <si>
    <t xml:space="preserve">Robo Renegades  </t>
  </si>
  <si>
    <t xml:space="preserve">Gear Grinders  </t>
  </si>
  <si>
    <t xml:space="preserve">The Sprocket Rockets  </t>
  </si>
  <si>
    <t xml:space="preserve">Bot‑Tastic  </t>
  </si>
  <si>
    <t xml:space="preserve">The Code Crusaders  </t>
  </si>
  <si>
    <t xml:space="preserve">The Mighty Mechanics  </t>
  </si>
  <si>
    <t xml:space="preserve">Robo Rookies  </t>
  </si>
  <si>
    <t xml:space="preserve">The Bolt Bandits  </t>
  </si>
  <si>
    <t xml:space="preserve">The Wire Wizards  </t>
  </si>
  <si>
    <t xml:space="preserve">The Bot Bunch  </t>
  </si>
  <si>
    <t xml:space="preserve">The Techno Tinkerers  </t>
  </si>
  <si>
    <t xml:space="preserve">The Robo Rangers  </t>
  </si>
  <si>
    <t xml:space="preserve">The Gearheads  </t>
  </si>
  <si>
    <t xml:space="preserve">The Circuit Squad  </t>
  </si>
  <si>
    <t xml:space="preserve">The Bot Builders  </t>
  </si>
  <si>
    <t xml:space="preserve">The Mech Masters  </t>
  </si>
  <si>
    <t xml:space="preserve">The Byte Bots  </t>
  </si>
  <si>
    <t xml:space="preserve">The Robo Rebels  </t>
  </si>
  <si>
    <t xml:space="preserve">The Tech Titans  </t>
  </si>
  <si>
    <t xml:space="preserve">The Bot Battalion  </t>
  </si>
  <si>
    <t xml:space="preserve">The Spark Plugs  </t>
  </si>
  <si>
    <t xml:space="preserve">The Robo Rockers  </t>
  </si>
  <si>
    <t xml:space="preserve">The Code Commanders  </t>
  </si>
  <si>
    <t xml:space="preserve">The Mech Mavericks  </t>
  </si>
  <si>
    <t xml:space="preserve">The Bot Blasters  </t>
  </si>
  <si>
    <t xml:space="preserve">The Circuit Cyclones  </t>
  </si>
  <si>
    <t xml:space="preserve">The Gear Geniuses  </t>
  </si>
  <si>
    <t xml:space="preserve">The Robo Revolution  </t>
  </si>
  <si>
    <t xml:space="preserve">The Tech Tornadoes  </t>
  </si>
  <si>
    <t xml:space="preserve">The Bot Breakers  </t>
  </si>
  <si>
    <t xml:space="preserve">The Mech Minions  </t>
  </si>
  <si>
    <t xml:space="preserve">The Circuit Seekers  </t>
  </si>
  <si>
    <t xml:space="preserve">The Gear Gang  </t>
  </si>
  <si>
    <t xml:space="preserve">The Robo Riders  </t>
  </si>
  <si>
    <t xml:space="preserve">The Code Crushers  </t>
  </si>
  <si>
    <t xml:space="preserve">The Bot Boosters  </t>
  </si>
  <si>
    <t xml:space="preserve">The Mech Magicians  </t>
  </si>
  <si>
    <t xml:space="preserve">The Circuit Chasers  </t>
  </si>
  <si>
    <t xml:space="preserve">The Gear Guardians  </t>
  </si>
  <si>
    <t xml:space="preserve">The Robo Rockets  </t>
  </si>
  <si>
    <t xml:space="preserve">The Tech Tinkerers  </t>
  </si>
  <si>
    <t xml:space="preserve">The Bot Bots  </t>
  </si>
  <si>
    <t xml:space="preserve">The Mech Mechanics  </t>
  </si>
  <si>
    <t xml:space="preserve">The Circuit Commanders  </t>
  </si>
  <si>
    <t xml:space="preserve">The Gear Gliders  </t>
  </si>
  <si>
    <t xml:space="preserve">The Robo Rookies  </t>
  </si>
  <si>
    <t xml:space="preserve">The Techno Tribe  </t>
  </si>
  <si>
    <t xml:space="preserve">The Bot Boomers  </t>
  </si>
  <si>
    <t xml:space="preserve">The Mech Monsters  </t>
  </si>
  <si>
    <t xml:space="preserve">The Circuit Cyclers  </t>
  </si>
  <si>
    <t xml:space="preserve">The Gear Gamers  </t>
  </si>
  <si>
    <t xml:space="preserve">The Robo Riddlers  </t>
  </si>
  <si>
    <t xml:space="preserve">The Techno Troopers  </t>
  </si>
  <si>
    <t xml:space="preserve">The Bot Blizzards  </t>
  </si>
  <si>
    <t xml:space="preserve">Brick Brawlers  </t>
  </si>
  <si>
    <t xml:space="preserve">Brick Bots  </t>
  </si>
  <si>
    <t xml:space="preserve">Brick Builders United  </t>
  </si>
  <si>
    <t xml:space="preserve">Brick Breakers  </t>
  </si>
  <si>
    <t xml:space="preserve">Brickstorm  </t>
  </si>
  <si>
    <t xml:space="preserve">Brick Force  </t>
  </si>
  <si>
    <t xml:space="preserve">Brick Ninjas  </t>
  </si>
  <si>
    <t xml:space="preserve">Brick Masters  </t>
  </si>
  <si>
    <t xml:space="preserve">Brick Squad  </t>
  </si>
  <si>
    <t xml:space="preserve">Brick Titans  </t>
  </si>
  <si>
    <t xml:space="preserve">Brick Engineers  </t>
  </si>
  <si>
    <t xml:space="preserve">Brick Mechanics  </t>
  </si>
  <si>
    <t xml:space="preserve">Brick Innovators  </t>
  </si>
  <si>
    <t xml:space="preserve">Brick Sparks  </t>
  </si>
  <si>
    <t xml:space="preserve">Brick Blasters  </t>
  </si>
  <si>
    <t xml:space="preserve">Brick Knights  </t>
  </si>
  <si>
    <t xml:space="preserve">Brick Wizards  </t>
  </si>
  <si>
    <t xml:space="preserve">Brick Fusion  </t>
  </si>
  <si>
    <t xml:space="preserve">Brick Blitz  </t>
  </si>
  <si>
    <t xml:space="preserve">Brick Bots Brigade  </t>
  </si>
  <si>
    <t xml:space="preserve">Brick Mavericks  </t>
  </si>
  <si>
    <t xml:space="preserve">Brick Tech Tribe  </t>
  </si>
  <si>
    <t xml:space="preserve">Brick Breakthrough  </t>
  </si>
  <si>
    <t xml:space="preserve">Brick Commanders  </t>
  </si>
  <si>
    <t xml:space="preserve">Brick Explorers  </t>
  </si>
  <si>
    <t xml:space="preserve">Brick Pioneers  </t>
  </si>
  <si>
    <t xml:space="preserve">Brick Revolution  </t>
  </si>
  <si>
    <t xml:space="preserve">Brick Stormers  </t>
  </si>
  <si>
    <t xml:space="preserve">Brick Tinkerers  </t>
  </si>
  <si>
    <t xml:space="preserve">Brick Warriors  </t>
  </si>
  <si>
    <t xml:space="preserve">Brick Legends  </t>
  </si>
  <si>
    <t xml:space="preserve">Brick Rangers  </t>
  </si>
  <si>
    <t xml:space="preserve">Brick Bots United  </t>
  </si>
  <si>
    <t xml:space="preserve">Brick Fusion Force  </t>
  </si>
  <si>
    <t xml:space="preserve">Brick Innovators Guild  </t>
  </si>
  <si>
    <t xml:space="preserve">Brick Tech Titans  </t>
  </si>
  <si>
    <t xml:space="preserve">Quantum Quokkas  </t>
  </si>
  <si>
    <t xml:space="preserve">Nano Ninjas  </t>
  </si>
  <si>
    <t xml:space="preserve">The STEMinators  </t>
  </si>
  <si>
    <t xml:space="preserve">The Data Dynamos  </t>
  </si>
  <si>
    <t xml:space="preserve">The Algorithm Alliance  </t>
  </si>
  <si>
    <t xml:space="preserve">The Quantum Crew  </t>
  </si>
  <si>
    <t xml:space="preserve">The Nano Navigators  </t>
  </si>
  <si>
    <t xml:space="preserve">The STEM Squad  </t>
  </si>
  <si>
    <t xml:space="preserve">The Science Spartans  </t>
  </si>
  <si>
    <t xml:space="preserve">The Techno Thinkers  </t>
  </si>
  <si>
    <t xml:space="preserve">The Data Drivers  </t>
  </si>
  <si>
    <t xml:space="preserve">The Algorithm Avengers  </t>
  </si>
  <si>
    <t xml:space="preserve">The Quantum Questers  </t>
  </si>
  <si>
    <t xml:space="preserve">The Nano Nomads  </t>
  </si>
  <si>
    <t xml:space="preserve">The STEM Stars  </t>
  </si>
  <si>
    <t xml:space="preserve">The Science Seekers  </t>
  </si>
  <si>
    <t xml:space="preserve">The Techno Trailblazers  </t>
  </si>
  <si>
    <t xml:space="preserve">The Data Detectives  </t>
  </si>
  <si>
    <t xml:space="preserve">The Algorithm Architects  </t>
  </si>
  <si>
    <t xml:space="preserve">The Quantum Quarks  </t>
  </si>
  <si>
    <t xml:space="preserve">The Nano Nerds  </t>
  </si>
  <si>
    <t xml:space="preserve">The STEM Strikers  </t>
  </si>
  <si>
    <t xml:space="preserve">The Science Sprinters  </t>
  </si>
  <si>
    <t xml:space="preserve">The Techno Titans  </t>
  </si>
  <si>
    <t xml:space="preserve">The Data Dragons  </t>
  </si>
  <si>
    <t xml:space="preserve">The Algorithm Agents  </t>
  </si>
  <si>
    <t xml:space="preserve">The Quantum Quasars  </t>
  </si>
  <si>
    <t xml:space="preserve">The STEM Storm  </t>
  </si>
  <si>
    <t xml:space="preserve">The Science Squad  </t>
  </si>
  <si>
    <t xml:space="preserve">The Nano Ninjas  </t>
  </si>
  <si>
    <t xml:space="preserve">Robo Raptors  </t>
  </si>
  <si>
    <t xml:space="preserve">Cyber Sharks  </t>
  </si>
  <si>
    <t xml:space="preserve">Mecha Monkeys  </t>
  </si>
  <si>
    <t xml:space="preserve">Robo Rhinos  </t>
  </si>
  <si>
    <t xml:space="preserve">Techno Tigers  </t>
  </si>
  <si>
    <t xml:space="preserve">Byte Bison  </t>
  </si>
  <si>
    <t xml:space="preserve">Circuit Cheetahs  </t>
  </si>
  <si>
    <t xml:space="preserve">Gear Gators  </t>
  </si>
  <si>
    <t xml:space="preserve">Robo Ravens  </t>
  </si>
  <si>
    <t xml:space="preserve">Mech Moose  </t>
  </si>
  <si>
    <t xml:space="preserve">Pixel Panthers  </t>
  </si>
  <si>
    <t xml:space="preserve">Bot Bears  </t>
  </si>
  <si>
    <t xml:space="preserve">Turbo Turtles  </t>
  </si>
  <si>
    <t xml:space="preserve">Nano Narwhals  </t>
  </si>
  <si>
    <t xml:space="preserve">Robo Raccoons  </t>
  </si>
  <si>
    <t xml:space="preserve">Mech Mantas  </t>
  </si>
  <si>
    <t xml:space="preserve">Circuit Coyotes  </t>
  </si>
  <si>
    <t xml:space="preserve">Gear Gorillas  </t>
  </si>
  <si>
    <t xml:space="preserve">Robo Rabbits  </t>
  </si>
  <si>
    <t xml:space="preserve">Techno Toucans  </t>
  </si>
  <si>
    <t xml:space="preserve">Byte Badgers  </t>
  </si>
  <si>
    <t xml:space="preserve">Mech Macaws  </t>
  </si>
  <si>
    <t xml:space="preserve">Robo Reindeer  </t>
  </si>
  <si>
    <t xml:space="preserve">Circuit Crabs  </t>
  </si>
  <si>
    <t xml:space="preserve">Gear Geckos  </t>
  </si>
  <si>
    <t xml:space="preserve">Robo Roosters  </t>
  </si>
  <si>
    <t xml:space="preserve">Mech Magpies  </t>
  </si>
  <si>
    <t xml:space="preserve">Pixel Pythons  </t>
  </si>
  <si>
    <t xml:space="preserve">Bot Buffalo  </t>
  </si>
  <si>
    <t xml:space="preserve">Turbo Tarantulas  </t>
  </si>
  <si>
    <t xml:space="preserve">Nano Newts  </t>
  </si>
  <si>
    <t xml:space="preserve">Robo Rams  </t>
  </si>
  <si>
    <t xml:space="preserve">Mech Mice  </t>
  </si>
  <si>
    <t xml:space="preserve">Circuit Camels  </t>
  </si>
  <si>
    <t xml:space="preserve">Gear Gazelles  </t>
  </si>
  <si>
    <t xml:space="preserve">Robo Red Pandas  </t>
  </si>
  <si>
    <t xml:space="preserve">Techno Turtles  </t>
  </si>
  <si>
    <t xml:space="preserve">Byte Bobcats  </t>
  </si>
  <si>
    <t xml:space="preserve">Mech Mallards  </t>
  </si>
  <si>
    <t xml:space="preserve">Robo Roadrunners  </t>
  </si>
  <si>
    <t xml:space="preserve">Turbo Techs  </t>
  </si>
  <si>
    <t xml:space="preserve">Lightning Bots  </t>
  </si>
  <si>
    <t xml:space="preserve">Velocity Vipers  </t>
  </si>
  <si>
    <t xml:space="preserve">Speedy Circuits  </t>
  </si>
  <si>
    <t xml:space="preserve">Power Pixels  </t>
  </si>
  <si>
    <t xml:space="preserve">Rapid Robotics  </t>
  </si>
  <si>
    <t xml:space="preserve">Thunder Tinkerers  </t>
  </si>
  <si>
    <t xml:space="preserve">Sonic Sprockets  </t>
  </si>
  <si>
    <t xml:space="preserve">Hyper Hackers  </t>
  </si>
  <si>
    <t xml:space="preserve">Momentum Makers  </t>
  </si>
  <si>
    <t xml:space="preserve">Turbo Tinkerers  </t>
  </si>
  <si>
    <t xml:space="preserve">Lightning Logic  </t>
  </si>
  <si>
    <t xml:space="preserve">Velocity Voyagers  </t>
  </si>
  <si>
    <t xml:space="preserve">Speedy Sprockets  </t>
  </si>
  <si>
    <t xml:space="preserve">Power Processors  </t>
  </si>
  <si>
    <t xml:space="preserve">Rapid Rovers  </t>
  </si>
  <si>
    <t xml:space="preserve">Thunder Techs  </t>
  </si>
  <si>
    <t xml:space="preserve">Sonic Circuits  </t>
  </si>
  <si>
    <t xml:space="preserve">Hyper Hardware  </t>
  </si>
  <si>
    <t xml:space="preserve">Momentum Mechanics  </t>
  </si>
  <si>
    <t xml:space="preserve">Turbo Titans  </t>
  </si>
  <si>
    <t xml:space="preserve">Lightning Legends  </t>
  </si>
  <si>
    <t xml:space="preserve">Velocity Vortex  </t>
  </si>
  <si>
    <t xml:space="preserve">Speedy Sparks  </t>
  </si>
  <si>
    <t xml:space="preserve">Power Pioneers  </t>
  </si>
  <si>
    <t xml:space="preserve">Rapid Rangers  </t>
  </si>
  <si>
    <t xml:space="preserve">Thunder Thinkers  </t>
  </si>
  <si>
    <t xml:space="preserve">Sonic Solderers  </t>
  </si>
  <si>
    <t xml:space="preserve">Hyper Holograms  </t>
  </si>
  <si>
    <t xml:space="preserve">Momentum Mavericks  </t>
  </si>
  <si>
    <t xml:space="preserve">Turbo Transformers  </t>
  </si>
  <si>
    <t xml:space="preserve">Lightning Launchers  </t>
  </si>
  <si>
    <t xml:space="preserve">Speedy Systems  </t>
  </si>
  <si>
    <t xml:space="preserve">Power Programmers  </t>
  </si>
  <si>
    <t xml:space="preserve">Rapid Robots  </t>
  </si>
  <si>
    <t xml:space="preserve">Thunder Thrusters  </t>
  </si>
  <si>
    <t xml:space="preserve">Sonic Sensors  </t>
  </si>
  <si>
    <t xml:space="preserve">Hyper Hydraulics  </t>
  </si>
  <si>
    <t xml:space="preserve">Momentum Machines  </t>
  </si>
  <si>
    <t xml:space="preserve">Ctrl‑Alt‑Defeat  </t>
  </si>
  <si>
    <t xml:space="preserve">The Bot‑tom Line  </t>
  </si>
  <si>
    <t xml:space="preserve">Not Fast, Just Furious  </t>
  </si>
  <si>
    <t xml:space="preserve">The Loose Screws  </t>
  </si>
  <si>
    <t xml:space="preserve">The Missing Manuals  </t>
  </si>
  <si>
    <t xml:space="preserve">The Glitch Gremlins  </t>
  </si>
  <si>
    <t xml:space="preserve">The Overclocked  </t>
  </si>
  <si>
    <t xml:space="preserve">The Under‑Caffeinated Engineers  </t>
  </si>
  <si>
    <t xml:space="preserve">The Robo‑Tatoes  </t>
  </si>
  <si>
    <t xml:space="preserve">The Brick‑Heads  </t>
  </si>
  <si>
    <t xml:space="preserve">The Bot‑atoes  </t>
  </si>
  <si>
    <t xml:space="preserve">The Mech‑nificent Seven  </t>
  </si>
  <si>
    <t xml:space="preserve">The Gear‑ish Delights  </t>
  </si>
  <si>
    <t xml:space="preserve">The Debugging Ducks  </t>
  </si>
  <si>
    <t xml:space="preserve">The Robo‑Rhinos  </t>
  </si>
  <si>
    <t xml:space="preserve">The Brick‑O‑Bots  </t>
  </si>
  <si>
    <t xml:space="preserve">The Bot‑terflies  </t>
  </si>
  <si>
    <t xml:space="preserve">The Mech‑a‑Doodles  </t>
  </si>
  <si>
    <t xml:space="preserve">The Circuit Circus  </t>
  </si>
  <si>
    <t xml:space="preserve">The Gear‑ish Gang  </t>
  </si>
  <si>
    <t xml:space="preserve">The Bot‑tom Feeders  </t>
  </si>
  <si>
    <t xml:space="preserve">The Mech‑nicians  </t>
  </si>
  <si>
    <t xml:space="preserve">The Brick‑tastics  </t>
  </si>
  <si>
    <t xml:space="preserve">The Robo‑Rookies  </t>
  </si>
  <si>
    <t xml:space="preserve">The Bot‑tenders  </t>
  </si>
  <si>
    <t xml:space="preserve">The Mech‑a‑Trons  </t>
  </si>
  <si>
    <t xml:space="preserve">The Circuit Sillies  </t>
  </si>
  <si>
    <t xml:space="preserve">The Gear‑ish Goats  </t>
  </si>
  <si>
    <t xml:space="preserve">The Bot‑tomless Pits  </t>
  </si>
  <si>
    <t xml:space="preserve">The Mech‑a‑Mites  </t>
  </si>
  <si>
    <t xml:space="preserve">The Brick‑O‑Ramas  </t>
  </si>
  <si>
    <t xml:space="preserve">The Robo‑Rangers  </t>
  </si>
  <si>
    <t xml:space="preserve">The Bot‑tomless Bots  </t>
  </si>
  <si>
    <t xml:space="preserve">The Mech‑a‑Makers  </t>
  </si>
  <si>
    <t xml:space="preserve">The Circuit Squirrels  </t>
  </si>
  <si>
    <t xml:space="preserve">The Gear‑ish Gators  </t>
  </si>
  <si>
    <t xml:space="preserve">The Bot‑tomless Wonders  </t>
  </si>
  <si>
    <t xml:space="preserve">The Mech‑a‑Minds  </t>
  </si>
  <si>
    <t xml:space="preserve">The Robo‑Rascals  </t>
  </si>
  <si>
    <t xml:space="preserve">The Bot‑tomless Crew  </t>
  </si>
  <si>
    <t xml:space="preserve">The Mech‑a‑Masters  </t>
  </si>
  <si>
    <t xml:space="preserve">The Circuit Sprockets  </t>
  </si>
  <si>
    <t xml:space="preserve">The Gear‑ish Gangsters  </t>
  </si>
  <si>
    <t xml:space="preserve">The Bot‑tomless Engineers  </t>
  </si>
  <si>
    <t xml:space="preserve">The Mech‑a‑Mechanics  </t>
  </si>
  <si>
    <t xml:space="preserve">The Brick‑O‑Builders  </t>
  </si>
  <si>
    <t xml:space="preserve">The Bot‑tomless Thinkers  </t>
  </si>
  <si>
    <t xml:space="preserve">The Mech‑a‑Magicians  </t>
  </si>
  <si>
    <t xml:space="preserve">AstroBots  </t>
  </si>
  <si>
    <t xml:space="preserve">Cosmic Coders  </t>
  </si>
  <si>
    <t xml:space="preserve">Galactic Gears  </t>
  </si>
  <si>
    <t xml:space="preserve">Nebula Navigators  </t>
  </si>
  <si>
    <t xml:space="preserve">Starship Sprockets  </t>
  </si>
  <si>
    <t xml:space="preserve">Lunar Logic  </t>
  </si>
  <si>
    <t xml:space="preserve">Mars Mechanics  </t>
  </si>
  <si>
    <t xml:space="preserve">Orbit Operators  </t>
  </si>
  <si>
    <t xml:space="preserve">Comet Coders  </t>
  </si>
  <si>
    <t xml:space="preserve">Meteor Mechanics  </t>
  </si>
  <si>
    <t xml:space="preserve">Astro Engineers  </t>
  </si>
  <si>
    <t xml:space="preserve">Cosmic Circuits  </t>
  </si>
  <si>
    <t xml:space="preserve">Galactic Gamers  </t>
  </si>
  <si>
    <t xml:space="preserve">Nebula Nerds  </t>
  </si>
  <si>
    <t xml:space="preserve">Starship Scientists  </t>
  </si>
  <si>
    <t xml:space="preserve">Lunar Legends  </t>
  </si>
  <si>
    <t xml:space="preserve">Mars Mavericks  </t>
  </si>
  <si>
    <t xml:space="preserve">Orbit Optimizers  </t>
  </si>
  <si>
    <t xml:space="preserve">Comet Commanders  </t>
  </si>
  <si>
    <t xml:space="preserve">Meteor Makers  </t>
  </si>
  <si>
    <t xml:space="preserve">Astro Adventurers  </t>
  </si>
  <si>
    <t xml:space="preserve">Cosmic Creators  </t>
  </si>
  <si>
    <t xml:space="preserve">Galactic Guardians  </t>
  </si>
  <si>
    <t xml:space="preserve">Starship Strikers  </t>
  </si>
  <si>
    <t xml:space="preserve">Lunar Launchers  </t>
  </si>
  <si>
    <t xml:space="preserve">Mars Mission  </t>
  </si>
  <si>
    <t xml:space="preserve">Orbit Overlords  </t>
  </si>
  <si>
    <t xml:space="preserve">Comet Crew  </t>
  </si>
  <si>
    <t xml:space="preserve">Meteor Mavericks  </t>
  </si>
  <si>
    <t xml:space="preserve">Astro Architects  </t>
  </si>
  <si>
    <t xml:space="preserve">Cosmic Constructors  </t>
  </si>
  <si>
    <t xml:space="preserve">Galactic Gliders  </t>
  </si>
  <si>
    <t xml:space="preserve">Nebula Nomads  </t>
  </si>
  <si>
    <t xml:space="preserve">Starship Sparks  </t>
  </si>
  <si>
    <t xml:space="preserve">AstroBots United  </t>
  </si>
  <si>
    <t xml:space="preserve">Cosmic Coders Crew  </t>
  </si>
  <si>
    <t xml:space="preserve">Galactic Gears Guild  </t>
  </si>
  <si>
    <t xml:space="preserve">Nebula Navigators Team  </t>
  </si>
  <si>
    <t xml:space="preserve">Starship Sprockets Squad  </t>
  </si>
  <si>
    <t xml:space="preserve">Lunar Legends League  </t>
  </si>
  <si>
    <t xml:space="preserve">Mars Mavericks Club  </t>
  </si>
  <si>
    <t xml:space="preserve">Orbit Optimizers Crew  </t>
  </si>
  <si>
    <t xml:space="preserve">Comet Commanders Collective  </t>
  </si>
  <si>
    <t xml:space="preserve">Meteor Makers Team  </t>
  </si>
  <si>
    <t xml:space="preserve">The Master Builders  </t>
  </si>
  <si>
    <t xml:space="preserve">The Build Brigade  </t>
  </si>
  <si>
    <t xml:space="preserve">The Assembly Alliance  </t>
  </si>
  <si>
    <t xml:space="preserve">The Construct Crew  </t>
  </si>
  <si>
    <t xml:space="preserve">The Maker Mechanics  </t>
  </si>
  <si>
    <t xml:space="preserve">The Build Bots  </t>
  </si>
  <si>
    <t xml:space="preserve">The Assembly Agents  </t>
  </si>
  <si>
    <t xml:space="preserve">The Construct Commanders  </t>
  </si>
  <si>
    <t xml:space="preserve">The Maker Mavericks  </t>
  </si>
  <si>
    <t xml:space="preserve">The Build Battalion  </t>
  </si>
  <si>
    <t xml:space="preserve">The Assembly Architects  </t>
  </si>
  <si>
    <t xml:space="preserve">The Construct Cyclones  </t>
  </si>
  <si>
    <t xml:space="preserve">The Maker Magicians  </t>
  </si>
  <si>
    <t xml:space="preserve">The Build Breakers  </t>
  </si>
  <si>
    <t xml:space="preserve">The Assembly Avengers  </t>
  </si>
  <si>
    <t xml:space="preserve">The Construct Crusaders  </t>
  </si>
  <si>
    <t xml:space="preserve">The Maker Machines  </t>
  </si>
  <si>
    <t xml:space="preserve">The Build Blasters  </t>
  </si>
  <si>
    <t xml:space="preserve">Pixel Pioneers  </t>
  </si>
  <si>
    <t xml:space="preserve">Code Crushers  </t>
  </si>
  <si>
    <t xml:space="preserve">Debug Dynasty  </t>
  </si>
  <si>
    <t xml:space="preserve">The Glitch Guardians  </t>
  </si>
  <si>
    <t xml:space="preserve">The Pixel Programmers  </t>
  </si>
  <si>
    <t xml:space="preserve">The Code Cadets  </t>
  </si>
  <si>
    <t xml:space="preserve">The Script Squad  </t>
  </si>
  <si>
    <t xml:space="preserve">The Pixel Pirates  </t>
  </si>
  <si>
    <t xml:space="preserve">The Debug Dragons  </t>
  </si>
  <si>
    <t xml:space="preserve">The Pixel Panthers  </t>
  </si>
  <si>
    <t xml:space="preserve">The Code Crew  </t>
  </si>
  <si>
    <t xml:space="preserve">The Script Sprockets  </t>
  </si>
  <si>
    <t xml:space="preserve">The Pixel Pythons  </t>
  </si>
  <si>
    <t xml:space="preserve">The Code Cyclones  </t>
  </si>
  <si>
    <t xml:space="preserve">The Debug Detectives  </t>
  </si>
  <si>
    <t xml:space="preserve">The Pixel Pulse  </t>
  </si>
  <si>
    <t xml:space="preserve">The Data Droids  </t>
  </si>
  <si>
    <t xml:space="preserve">The Script Soldiers  </t>
  </si>
  <si>
    <t xml:space="preserve">The Pixel Patrol  </t>
  </si>
  <si>
    <t xml:space="preserve">The Code Conquerors  </t>
  </si>
  <si>
    <t xml:space="preserve">The Debug Division  </t>
  </si>
  <si>
    <t xml:space="preserve">The Pixel Pack  </t>
  </si>
  <si>
    <t xml:space="preserve">The Code Collective  </t>
  </si>
  <si>
    <t xml:space="preserve">The Data Defenders  </t>
  </si>
  <si>
    <t xml:space="preserve">The Debug Dynasty  </t>
  </si>
  <si>
    <t xml:space="preserve">The Pixel Pioneers  </t>
  </si>
  <si>
    <t xml:space="preserve">The Pixel Pulse </t>
  </si>
  <si>
    <t xml:space="preserve">Avery Collins  </t>
  </si>
  <si>
    <t xml:space="preserve">Jordan Ramirez  </t>
  </si>
  <si>
    <t xml:space="preserve">Taylor Benson  </t>
  </si>
  <si>
    <t xml:space="preserve">Morgan Price  </t>
  </si>
  <si>
    <t xml:space="preserve">Riley Carter  </t>
  </si>
  <si>
    <t xml:space="preserve">Casey Donovan  </t>
  </si>
  <si>
    <t xml:space="preserve">Jamie Walters  </t>
  </si>
  <si>
    <t xml:space="preserve">Parker Shields  </t>
  </si>
  <si>
    <t xml:space="preserve">Alex Monroe  </t>
  </si>
  <si>
    <t xml:space="preserve">Sydney Barrett  </t>
  </si>
  <si>
    <t xml:space="preserve">Cameron Hayes  </t>
  </si>
  <si>
    <t xml:space="preserve">Reese Dalton  </t>
  </si>
  <si>
    <t xml:space="preserve">Drew Porter  </t>
  </si>
  <si>
    <t xml:space="preserve">Kendall Brooks  </t>
  </si>
  <si>
    <t xml:space="preserve">Logan Tate  </t>
  </si>
  <si>
    <t xml:space="preserve">Harper Flynn  </t>
  </si>
  <si>
    <t xml:space="preserve">Rowan Mitchell  </t>
  </si>
  <si>
    <t xml:space="preserve">Elliot Sanders  </t>
  </si>
  <si>
    <t xml:space="preserve">Quinn Harper  </t>
  </si>
  <si>
    <t xml:space="preserve">Aiden Clarke  </t>
  </si>
  <si>
    <t xml:space="preserve">Mason Everett  </t>
  </si>
  <si>
    <t xml:space="preserve">Liam Porter  </t>
  </si>
  <si>
    <t xml:space="preserve">Noah Briggs  </t>
  </si>
  <si>
    <t xml:space="preserve">Ethan Sawyer  </t>
  </si>
  <si>
    <t xml:space="preserve">Caleb Harmon  </t>
  </si>
  <si>
    <t xml:space="preserve">Owen Foster  </t>
  </si>
  <si>
    <t xml:space="preserve">Henry Dalton  </t>
  </si>
  <si>
    <t xml:space="preserve">Jack Mercer  </t>
  </si>
  <si>
    <t xml:space="preserve">Wyatt Collins  </t>
  </si>
  <si>
    <t xml:space="preserve">Leo Turner  </t>
  </si>
  <si>
    <t xml:space="preserve">Isaac Chandler  </t>
  </si>
  <si>
    <t xml:space="preserve">Miles Barrett  </t>
  </si>
  <si>
    <t xml:space="preserve">Gavin Rhodes  </t>
  </si>
  <si>
    <t xml:space="preserve">Nolan Pierce  </t>
  </si>
  <si>
    <t xml:space="preserve">Colin Baxter  </t>
  </si>
  <si>
    <t xml:space="preserve">Evan Maddox  </t>
  </si>
  <si>
    <t xml:space="preserve">Asher Doyle  </t>
  </si>
  <si>
    <t xml:space="preserve">Silas Kent  </t>
  </si>
  <si>
    <t xml:space="preserve">Jasper Rowe  </t>
  </si>
  <si>
    <t xml:space="preserve">Finn Walters  </t>
  </si>
  <si>
    <t xml:space="preserve">Oliver Pratt  </t>
  </si>
  <si>
    <t xml:space="preserve">Lucas Harlan  </t>
  </si>
  <si>
    <t xml:space="preserve">Theo Briggs  </t>
  </si>
  <si>
    <t xml:space="preserve">Julian Mercer  </t>
  </si>
  <si>
    <t xml:space="preserve">Roman Tate  </t>
  </si>
  <si>
    <t xml:space="preserve">Beckett Shaw  </t>
  </si>
  <si>
    <t xml:space="preserve">Hudson Blake  </t>
  </si>
  <si>
    <t xml:space="preserve">Easton Carter  </t>
  </si>
  <si>
    <t xml:space="preserve">Declan Hayes  </t>
  </si>
  <si>
    <t xml:space="preserve">Grayson Abbott  </t>
  </si>
  <si>
    <t xml:space="preserve">Sawyer Flynn  </t>
  </si>
  <si>
    <t xml:space="preserve">Emmett Rhodes  </t>
  </si>
  <si>
    <t xml:space="preserve">Wesley Porter  </t>
  </si>
  <si>
    <t xml:space="preserve">Harrison Clarke  </t>
  </si>
  <si>
    <t xml:space="preserve">Bennett Harmon  </t>
  </si>
  <si>
    <t xml:space="preserve">Spencer Dalton  </t>
  </si>
  <si>
    <t xml:space="preserve">Tucker Everett  </t>
  </si>
  <si>
    <t xml:space="preserve">Brooks Chandler  </t>
  </si>
  <si>
    <t xml:space="preserve">Callum Pierce  </t>
  </si>
  <si>
    <t xml:space="preserve">Archer Maddox  </t>
  </si>
  <si>
    <t xml:space="preserve">Reid Foster  </t>
  </si>
  <si>
    <t xml:space="preserve">Sullivan Kent  </t>
  </si>
  <si>
    <t xml:space="preserve">Tate Rowe  </t>
  </si>
  <si>
    <t xml:space="preserve">Corbin Shaw  </t>
  </si>
  <si>
    <t xml:space="preserve">Dawson Blake  </t>
  </si>
  <si>
    <t xml:space="preserve">Rhett Harlan  </t>
  </si>
  <si>
    <t xml:space="preserve">Kellan Briggs  </t>
  </si>
  <si>
    <t xml:space="preserve">Zane Turner  </t>
  </si>
  <si>
    <t xml:space="preserve">Jude Mercer  </t>
  </si>
  <si>
    <t xml:space="preserve">Cody Barrett  </t>
  </si>
  <si>
    <t xml:space="preserve">Trent Rhodes  </t>
  </si>
  <si>
    <t xml:space="preserve">Shane Pierce  </t>
  </si>
  <si>
    <t xml:space="preserve">Derek Chandler  </t>
  </si>
  <si>
    <t xml:space="preserve">Grant Foster  </t>
  </si>
  <si>
    <t xml:space="preserve">Warren Doyle  </t>
  </si>
  <si>
    <t xml:space="preserve">Marshall Kent  </t>
  </si>
  <si>
    <t xml:space="preserve">Clayton Rowe  </t>
  </si>
  <si>
    <t xml:space="preserve">Preston Shaw  </t>
  </si>
  <si>
    <t xml:space="preserve">Dustin Blake  </t>
  </si>
  <si>
    <t xml:space="preserve">Brady Harlan  </t>
  </si>
  <si>
    <t xml:space="preserve">Chase Everett  </t>
  </si>
  <si>
    <t xml:space="preserve">Tyler Collins  </t>
  </si>
  <si>
    <t xml:space="preserve">Brandon Carter  </t>
  </si>
  <si>
    <t xml:space="preserve">Shawn Hayes  </t>
  </si>
  <si>
    <t xml:space="preserve">Trevor Flynn  </t>
  </si>
  <si>
    <t xml:space="preserve">Kyle Porter  </t>
  </si>
  <si>
    <t xml:space="preserve">Mitchell Brooks  </t>
  </si>
  <si>
    <t xml:space="preserve">Garrett Dalton  </t>
  </si>
  <si>
    <t xml:space="preserve">Casey Harmon  </t>
  </si>
  <si>
    <t xml:space="preserve">Dylan Everett  </t>
  </si>
  <si>
    <t xml:space="preserve">Blake Chandler  </t>
  </si>
  <si>
    <t xml:space="preserve">Carter Pierce  </t>
  </si>
  <si>
    <t xml:space="preserve">Hunter Rhodes  </t>
  </si>
  <si>
    <t xml:space="preserve">Jared Foster  </t>
  </si>
  <si>
    <t xml:space="preserve">Colby Maddox  </t>
  </si>
  <si>
    <t xml:space="preserve">Bryce Shaw  </t>
  </si>
  <si>
    <t xml:space="preserve">Lane Turner  </t>
  </si>
  <si>
    <t xml:space="preserve">Shane Mercer  </t>
  </si>
  <si>
    <t xml:space="preserve">Troy Barrett  </t>
  </si>
  <si>
    <t xml:space="preserve">Wade Briggs  </t>
  </si>
  <si>
    <t xml:space="preserve">Dean Harlan  </t>
  </si>
  <si>
    <t xml:space="preserve">Joel Everett  </t>
  </si>
  <si>
    <t xml:space="preserve">Mark Chandler  </t>
  </si>
  <si>
    <t xml:space="preserve">Scott Pierce  </t>
  </si>
  <si>
    <t xml:space="preserve">Neil Rhodes  </t>
  </si>
  <si>
    <t xml:space="preserve">Todd Foster  </t>
  </si>
  <si>
    <t xml:space="preserve">Eric Dalton  </t>
  </si>
  <si>
    <t xml:space="preserve">Bradley Harmon  </t>
  </si>
  <si>
    <t xml:space="preserve">Shawn Everett  </t>
  </si>
  <si>
    <t xml:space="preserve">Keith Chandler  </t>
  </si>
  <si>
    <t xml:space="preserve">Ross Pierce  </t>
  </si>
  <si>
    <t xml:space="preserve">Grant Rhodes  </t>
  </si>
  <si>
    <t xml:space="preserve">Eli Foster  </t>
  </si>
  <si>
    <t xml:space="preserve">Jonas Maddox  </t>
  </si>
  <si>
    <t xml:space="preserve">Ronan Shaw  </t>
  </si>
  <si>
    <t xml:space="preserve">Milo Turner  </t>
  </si>
  <si>
    <t xml:space="preserve">Arlo Mercer  </t>
  </si>
  <si>
    <t xml:space="preserve">Cyrus Barrett  </t>
  </si>
  <si>
    <t xml:space="preserve">Dane Briggs  </t>
  </si>
  <si>
    <t xml:space="preserve">Heath Harlan  </t>
  </si>
  <si>
    <t xml:space="preserve">Vince Everett  </t>
  </si>
  <si>
    <t xml:space="preserve">Clark Chandler  </t>
  </si>
  <si>
    <t xml:space="preserve">Brett Pierce  </t>
  </si>
  <si>
    <t xml:space="preserve">Shay Rhodes  </t>
  </si>
  <si>
    <t xml:space="preserve">Evan Foster  </t>
  </si>
  <si>
    <t xml:space="preserve">Miles Dalton  </t>
  </si>
  <si>
    <t xml:space="preserve">Reid Harmon  </t>
  </si>
  <si>
    <t xml:space="preserve">Gage Everett  </t>
  </si>
  <si>
    <t xml:space="preserve">Toby Chandler  </t>
  </si>
  <si>
    <t xml:space="preserve">Zeke Pierce  </t>
  </si>
  <si>
    <t xml:space="preserve">Ari Rhodes  </t>
  </si>
  <si>
    <t xml:space="preserve">Nico Maddox  </t>
  </si>
  <si>
    <t xml:space="preserve">Rory Shaw  </t>
  </si>
  <si>
    <t xml:space="preserve">Kian Turner  </t>
  </si>
  <si>
    <t xml:space="preserve">Jett Mercer  </t>
  </si>
  <si>
    <t xml:space="preserve">Bo Barrett  </t>
  </si>
  <si>
    <t xml:space="preserve">Cade Briggs  </t>
  </si>
  <si>
    <t xml:space="preserve">Ford Harlan  </t>
  </si>
  <si>
    <t xml:space="preserve">Knox Everett  </t>
  </si>
  <si>
    <t xml:space="preserve">Jace Chandler  </t>
  </si>
  <si>
    <t xml:space="preserve">Blaine Pierce  </t>
  </si>
  <si>
    <t xml:space="preserve">Cruz Rhodes  </t>
  </si>
  <si>
    <t xml:space="preserve">Dax Foster  </t>
  </si>
  <si>
    <t xml:space="preserve">Enzo Dalton  </t>
  </si>
  <si>
    <t xml:space="preserve">Hugh Harmon  </t>
  </si>
  <si>
    <t xml:space="preserve">Ira Everett  </t>
  </si>
  <si>
    <t xml:space="preserve">Jules Chandler  </t>
  </si>
  <si>
    <t xml:space="preserve">Kurt Pierce  </t>
  </si>
  <si>
    <t xml:space="preserve">Levi Rhodes  </t>
  </si>
  <si>
    <t xml:space="preserve">Mack Foster  </t>
  </si>
  <si>
    <t xml:space="preserve">Nash Maddox  </t>
  </si>
  <si>
    <t xml:space="preserve">Otis Shaw  </t>
  </si>
  <si>
    <t xml:space="preserve">Pax Turner  </t>
  </si>
  <si>
    <t xml:space="preserve">Quaid Mercer  </t>
  </si>
  <si>
    <t xml:space="preserve">Rhys Barrett  </t>
  </si>
  <si>
    <t xml:space="preserve">Seth Briggs  </t>
  </si>
  <si>
    <t xml:space="preserve">Tate Harlan  </t>
  </si>
  <si>
    <t xml:space="preserve">Vaughn Everett  </t>
  </si>
  <si>
    <t xml:space="preserve">Wells Chandler  </t>
  </si>
  <si>
    <t xml:space="preserve">Yuri Pierce  </t>
  </si>
  <si>
    <t xml:space="preserve">Zion Rhodes  </t>
  </si>
  <si>
    <t xml:space="preserve">Alden Foster  </t>
  </si>
  <si>
    <t xml:space="preserve">Barrett Dalton  </t>
  </si>
  <si>
    <t xml:space="preserve">Callan Harmon  </t>
  </si>
  <si>
    <t xml:space="preserve">Dorian Everett  </t>
  </si>
  <si>
    <t xml:space="preserve">Eamon Chandler  </t>
  </si>
  <si>
    <t xml:space="preserve">Foster Pierce  </t>
  </si>
  <si>
    <t xml:space="preserve">Gannon Rhodes  </t>
  </si>
  <si>
    <t xml:space="preserve">Harvey Foster  </t>
  </si>
  <si>
    <t xml:space="preserve">Idris Maddox  </t>
  </si>
  <si>
    <t xml:space="preserve">Jensen Shaw  </t>
  </si>
  <si>
    <t xml:space="preserve">Keaton Turner  </t>
  </si>
  <si>
    <t xml:space="preserve">Landon Mercer  </t>
  </si>
  <si>
    <t xml:space="preserve">Merritt Barrett  </t>
  </si>
  <si>
    <t xml:space="preserve">Nolan Briggs  </t>
  </si>
  <si>
    <t xml:space="preserve">Orson Harlan  </t>
  </si>
  <si>
    <t xml:space="preserve">Porter Everett  </t>
  </si>
  <si>
    <t xml:space="preserve">Quentin Chandler  </t>
  </si>
  <si>
    <t xml:space="preserve">Ronan Pierce  </t>
  </si>
  <si>
    <t xml:space="preserve">Stellan Rhodes  </t>
  </si>
  <si>
    <t xml:space="preserve">Thatcher Foster  </t>
  </si>
  <si>
    <t xml:space="preserve">Ulric Dalton  </t>
  </si>
  <si>
    <t xml:space="preserve">Vernon Harmon  </t>
  </si>
  <si>
    <t xml:space="preserve">Wilder Everett  </t>
  </si>
  <si>
    <t xml:space="preserve">Xander Chandler  </t>
  </si>
  <si>
    <t xml:space="preserve">Yates Pierce  </t>
  </si>
  <si>
    <t xml:space="preserve">Zeke Rhodes  </t>
  </si>
  <si>
    <t xml:space="preserve">Alec Foster  </t>
  </si>
  <si>
    <t xml:space="preserve">Benson Maddox  </t>
  </si>
  <si>
    <t xml:space="preserve">Crosby Shaw  </t>
  </si>
  <si>
    <t xml:space="preserve">Darian Turner  </t>
  </si>
  <si>
    <t xml:space="preserve">Ellis Mercer  </t>
  </si>
  <si>
    <t xml:space="preserve">Fletcher Barrett  </t>
  </si>
  <si>
    <t xml:space="preserve">Grady Briggs  </t>
  </si>
  <si>
    <t xml:space="preserve">Harlan Everett  </t>
  </si>
  <si>
    <t xml:space="preserve">Irving Chandler  </t>
  </si>
  <si>
    <t xml:space="preserve">Jasper Pierce  </t>
  </si>
  <si>
    <t xml:space="preserve">Kieran Rhodes  </t>
  </si>
  <si>
    <t xml:space="preserve">Lyle Foster  </t>
  </si>
  <si>
    <t xml:space="preserve">Madden Dalton  </t>
  </si>
  <si>
    <t xml:space="preserve">Nico Harmon  </t>
  </si>
  <si>
    <t xml:space="preserve">Orin Everett  </t>
  </si>
  <si>
    <t xml:space="preserve">Parker Chandler  </t>
  </si>
  <si>
    <t xml:space="preserve">Quinn Pierce  </t>
  </si>
  <si>
    <t xml:space="preserve">Rhett Rhodes  </t>
  </si>
  <si>
    <t xml:space="preserve">Stuart Foster  </t>
  </si>
  <si>
    <t xml:space="preserve">Tanner Maddox  </t>
  </si>
  <si>
    <t xml:space="preserve">Uriah Shaw  </t>
  </si>
  <si>
    <t xml:space="preserve">Vance Turner  </t>
  </si>
  <si>
    <t xml:space="preserve">Warren Mercer  </t>
  </si>
  <si>
    <t xml:space="preserve">Xavier Barrett  </t>
  </si>
  <si>
    <t xml:space="preserve">Yale Briggs  </t>
  </si>
  <si>
    <t xml:space="preserve">Zander Harlan  </t>
  </si>
  <si>
    <t xml:space="preserve">Alden Everett  </t>
  </si>
  <si>
    <t xml:space="preserve">Briar Chandler  </t>
  </si>
  <si>
    <t xml:space="preserve">Cullen Pierce  </t>
  </si>
  <si>
    <t xml:space="preserve">Damon Rhodes  </t>
  </si>
  <si>
    <t xml:space="preserve">Elias Foster  </t>
  </si>
  <si>
    <t xml:space="preserve">Foster Dalton  </t>
  </si>
  <si>
    <t xml:space="preserve">Gideon Harmon  </t>
  </si>
  <si>
    <t xml:space="preserve">Huxley Everett  </t>
  </si>
  <si>
    <t xml:space="preserve">Iker Chandler  </t>
  </si>
  <si>
    <t xml:space="preserve">Jace Pierce  </t>
  </si>
  <si>
    <t xml:space="preserve">Koda Rhodes  </t>
  </si>
  <si>
    <t xml:space="preserve">Lachlan Foster  </t>
  </si>
  <si>
    <t xml:space="preserve">Merrick Maddox  </t>
  </si>
  <si>
    <t xml:space="preserve">Niall Shaw  </t>
  </si>
  <si>
    <t xml:space="preserve">Odin Turner  </t>
  </si>
  <si>
    <t xml:space="preserve">Pierce Mercer  </t>
  </si>
  <si>
    <t xml:space="preserve">Quill Barrett  </t>
  </si>
  <si>
    <t xml:space="preserve">Ridge Briggs  </t>
  </si>
  <si>
    <t xml:space="preserve">Stetson Harlan  </t>
  </si>
  <si>
    <t xml:space="preserve">Torin Everett  </t>
  </si>
  <si>
    <t xml:space="preserve">Ulises Chandler  </t>
  </si>
  <si>
    <t xml:space="preserve">Vito Pierce  </t>
  </si>
  <si>
    <t xml:space="preserve">Wes Rhodes  </t>
  </si>
  <si>
    <t xml:space="preserve">Xeno Foster  </t>
  </si>
  <si>
    <t xml:space="preserve">Yuri Dalton  </t>
  </si>
  <si>
    <t xml:space="preserve">Zev Harmon  </t>
  </si>
  <si>
    <t xml:space="preserve">Ari Everett  </t>
  </si>
  <si>
    <t xml:space="preserve">Bode Chandler  </t>
  </si>
  <si>
    <t xml:space="preserve">Cian Pierce  </t>
  </si>
  <si>
    <t xml:space="preserve">Dane Rhodes  </t>
  </si>
  <si>
    <t xml:space="preserve">Ewan Foster  </t>
  </si>
  <si>
    <t xml:space="preserve">Fritz Dalton  </t>
  </si>
  <si>
    <t xml:space="preserve">Gage Harmon  </t>
  </si>
  <si>
    <t xml:space="preserve">Hale Everett  </t>
  </si>
  <si>
    <t xml:space="preserve">Ira Chandler  </t>
  </si>
  <si>
    <t xml:space="preserve">Jory Pierce  </t>
  </si>
  <si>
    <t xml:space="preserve">Keir Rhodes  </t>
  </si>
  <si>
    <t xml:space="preserve">Lars Foster  </t>
  </si>
  <si>
    <t xml:space="preserve">Milo Maddox  </t>
  </si>
  <si>
    <t xml:space="preserve">Nash Shaw  </t>
  </si>
  <si>
    <t xml:space="preserve">Orrin Turner  </t>
  </si>
  <si>
    <t xml:space="preserve">Pryce Mercer  </t>
  </si>
  <si>
    <t xml:space="preserve">Quinn Barrett  </t>
  </si>
  <si>
    <t xml:space="preserve">Reed Briggs  </t>
  </si>
  <si>
    <t xml:space="preserve">Soren Harlan  </t>
  </si>
  <si>
    <t xml:space="preserve">Thane Everett  </t>
  </si>
  <si>
    <t xml:space="preserve">Upton Chandler  </t>
  </si>
  <si>
    <t xml:space="preserve">Vail Pierce  </t>
  </si>
  <si>
    <t xml:space="preserve">Witt Rhodes  </t>
  </si>
  <si>
    <t xml:space="preserve">Xavi Foster  </t>
  </si>
  <si>
    <t xml:space="preserve">Yann Dalton  </t>
  </si>
  <si>
    <t xml:space="preserve">Zion Harmon  </t>
  </si>
  <si>
    <t xml:space="preserve">Ames Everett  </t>
  </si>
  <si>
    <t xml:space="preserve">Breck Chandler  </t>
  </si>
  <si>
    <t xml:space="preserve">Cato Pierce  </t>
  </si>
  <si>
    <t xml:space="preserve">Dax Rhodes  </t>
  </si>
  <si>
    <t xml:space="preserve">Finn Dalton  </t>
  </si>
  <si>
    <t xml:space="preserve">Graham Harmon  </t>
  </si>
  <si>
    <t xml:space="preserve">Holt Everett  </t>
  </si>
  <si>
    <t xml:space="preserve">Ives Chandler  </t>
  </si>
  <si>
    <t xml:space="preserve">Judd Pierce  </t>
  </si>
  <si>
    <t xml:space="preserve">Kane Rhodes  </t>
  </si>
  <si>
    <t xml:space="preserve">Liam Foster  </t>
  </si>
  <si>
    <t xml:space="preserve">Merritt Maddox  </t>
  </si>
  <si>
    <t xml:space="preserve">Nico Shaw  </t>
  </si>
  <si>
    <t xml:space="preserve">Owen Turner  </t>
  </si>
  <si>
    <t xml:space="preserve">Parker Mercer  </t>
  </si>
  <si>
    <t xml:space="preserve">Quade Barrett  </t>
  </si>
  <si>
    <t xml:space="preserve">Rhett Briggs  </t>
  </si>
  <si>
    <t xml:space="preserve">Silas Harlan  </t>
  </si>
  <si>
    <t xml:space="preserve">Troy Everett  </t>
  </si>
  <si>
    <t xml:space="preserve">Umar Chandler  </t>
  </si>
  <si>
    <t xml:space="preserve">Vern Pierce  </t>
  </si>
  <si>
    <t xml:space="preserve">Wade Rhodes  </t>
  </si>
  <si>
    <t xml:space="preserve">Xander Foster  </t>
  </si>
  <si>
    <t xml:space="preserve">Zane Harmon  </t>
  </si>
  <si>
    <t xml:space="preserve">Baron Chandler  </t>
  </si>
  <si>
    <t xml:space="preserve">Cyrus Pierce  </t>
  </si>
  <si>
    <t xml:space="preserve">Dorian Rhodes  </t>
  </si>
  <si>
    <t xml:space="preserve">Eamon Foster  </t>
  </si>
  <si>
    <t xml:space="preserve">Jules Pierce  </t>
  </si>
  <si>
    <t xml:space="preserve">Madden Maddox  </t>
  </si>
  <si>
    <t xml:space="preserve">Ridgeview Academy  </t>
  </si>
  <si>
    <t xml:space="preserve">Maple Grove School  </t>
  </si>
  <si>
    <t xml:space="preserve">Cedar Valley Prep  </t>
  </si>
  <si>
    <t xml:space="preserve">Pinecrest Middle School  </t>
  </si>
  <si>
    <t xml:space="preserve">Oak Ridge Academy  </t>
  </si>
  <si>
    <t xml:space="preserve">Silverbrook School  </t>
  </si>
  <si>
    <t xml:space="preserve">Horizon Point School  </t>
  </si>
  <si>
    <t xml:space="preserve">Riverbend Academy  </t>
  </si>
  <si>
    <t xml:space="preserve">Summit Ridge School  </t>
  </si>
  <si>
    <t xml:space="preserve">Blue Harbor School  </t>
  </si>
  <si>
    <t xml:space="preserve">Crescent Valley Academy  </t>
  </si>
  <si>
    <t xml:space="preserve">Greenfield Preparatory  </t>
  </si>
  <si>
    <t xml:space="preserve">Lakeside Charter School  </t>
  </si>
  <si>
    <t xml:space="preserve">Mountain Trail Academy  </t>
  </si>
  <si>
    <t xml:space="preserve">Willow Springs School  </t>
  </si>
  <si>
    <t xml:space="preserve">Brightstone Academy  </t>
  </si>
  <si>
    <t xml:space="preserve">Northgate Middle School  </t>
  </si>
  <si>
    <t xml:space="preserve">Southwind Academy  </t>
  </si>
  <si>
    <t xml:space="preserve">Eastbrook School  </t>
  </si>
  <si>
    <t xml:space="preserve">Westlake Preparatory  </t>
  </si>
  <si>
    <t xml:space="preserve">Harborview Academy  </t>
  </si>
  <si>
    <t xml:space="preserve">Redwood Hills School  </t>
  </si>
  <si>
    <t xml:space="preserve">Golden Meadow School  </t>
  </si>
  <si>
    <t xml:space="preserve">Prairie Ridge Academy  </t>
  </si>
  <si>
    <t xml:space="preserve">Timberline School  </t>
  </si>
  <si>
    <t xml:space="preserve">Brookside Preparatory  </t>
  </si>
  <si>
    <t xml:space="preserve">Clearwater Academy  </t>
  </si>
  <si>
    <t xml:space="preserve">Evergreen Middle School  </t>
  </si>
  <si>
    <t xml:space="preserve">Highland Crest School  </t>
  </si>
  <si>
    <t xml:space="preserve">Valley Forge Academy  </t>
  </si>
  <si>
    <t xml:space="preserve">Sunrise Ridge School  </t>
  </si>
  <si>
    <t xml:space="preserve">Canyon Creek Academy  </t>
  </si>
  <si>
    <t xml:space="preserve">Forest Glen School  </t>
  </si>
  <si>
    <t xml:space="preserve">Silverleaf Preparatory  </t>
  </si>
  <si>
    <t xml:space="preserve">Twin Rivers Academy  </t>
  </si>
  <si>
    <t xml:space="preserve">Meadowbrook School  </t>
  </si>
  <si>
    <t xml:space="preserve">Skyline Charter School  </t>
  </si>
  <si>
    <t xml:space="preserve">Liberty Point Academy  </t>
  </si>
  <si>
    <t xml:space="preserve">Heritage Grove School  </t>
  </si>
  <si>
    <t xml:space="preserve">Pioneer Ridge Academy  </t>
  </si>
  <si>
    <t xml:space="preserve">Aspen Hill School  </t>
  </si>
  <si>
    <t xml:space="preserve">Cedar Ridge Preparatory  </t>
  </si>
  <si>
    <t xml:space="preserve">Maplewood Academy  </t>
  </si>
  <si>
    <t xml:space="preserve">Riverstone School  </t>
  </si>
  <si>
    <t xml:space="preserve">Brightwater Middle School  </t>
  </si>
  <si>
    <t xml:space="preserve">Northshore Academy  </t>
  </si>
  <si>
    <t xml:space="preserve">Southcrest School  </t>
  </si>
  <si>
    <t xml:space="preserve">Eastview Preparatory  </t>
  </si>
  <si>
    <t xml:space="preserve">Westbrook Academy  </t>
  </si>
  <si>
    <t xml:space="preserve">Hilltop Charter School  </t>
  </si>
  <si>
    <t xml:space="preserve">Lighthouse Ridge School  </t>
  </si>
  <si>
    <t xml:space="preserve">Green Meadows Academy  </t>
  </si>
  <si>
    <t xml:space="preserve">Lakewood Preparatory  </t>
  </si>
  <si>
    <t xml:space="preserve">Mountain Crest School  </t>
  </si>
  <si>
    <t xml:space="preserve">Willow Creek Academy  </t>
  </si>
  <si>
    <t xml:space="preserve">Brookfield Middle School  </t>
  </si>
  <si>
    <t xml:space="preserve">Clearview Academy  </t>
  </si>
  <si>
    <t xml:space="preserve">Evergreen Ridge School  </t>
  </si>
  <si>
    <t xml:space="preserve">Highland Springs Academy  </t>
  </si>
  <si>
    <t xml:space="preserve">Valley View Preparatory  </t>
  </si>
  <si>
    <t xml:space="preserve">Sunset Ridge School  </t>
  </si>
  <si>
    <t xml:space="preserve">Canyon Ridge Academy  </t>
  </si>
  <si>
    <t xml:space="preserve">Forest Hills School  </t>
  </si>
  <si>
    <t xml:space="preserve">Silver Creek Preparatory  </t>
  </si>
  <si>
    <t xml:space="preserve">Twin Lakes Academy  </t>
  </si>
  <si>
    <t xml:space="preserve">Meadow Ridge School  </t>
  </si>
  <si>
    <t xml:space="preserve">Skyview Charter School  </t>
  </si>
  <si>
    <t xml:space="preserve">Liberty Grove Academy  </t>
  </si>
  <si>
    <t xml:space="preserve">Heritage Springs School  </t>
  </si>
  <si>
    <t xml:space="preserve">Pioneer Valley Academy  </t>
  </si>
  <si>
    <t xml:space="preserve">Aspen Ridge School  </t>
  </si>
  <si>
    <t xml:space="preserve">Cedar Grove Preparatory  </t>
  </si>
  <si>
    <t xml:space="preserve">Maple Ridge Academy  </t>
  </si>
  <si>
    <t xml:space="preserve">Riverbend Charter School  </t>
  </si>
  <si>
    <t xml:space="preserve">Bright Horizon School  </t>
  </si>
  <si>
    <t xml:space="preserve">North Valley Academy  </t>
  </si>
  <si>
    <t xml:space="preserve">South Ridge School  </t>
  </si>
  <si>
    <t xml:space="preserve">East Meadow Academy  </t>
  </si>
  <si>
    <t xml:space="preserve">Westview Preparatory  </t>
  </si>
  <si>
    <t xml:space="preserve">Hillcrest Academy  </t>
  </si>
  <si>
    <t xml:space="preserve">Lighthouse Point School  </t>
  </si>
  <si>
    <t xml:space="preserve">Greenfield Ridge School  </t>
  </si>
  <si>
    <t xml:space="preserve">Lakeview Charter School  </t>
  </si>
  <si>
    <t xml:space="preserve">Mountain Brook Academy  </t>
  </si>
  <si>
    <t xml:space="preserve">Willow Glen School  </t>
  </si>
  <si>
    <t xml:space="preserve">Brookside Ridge Academy  </t>
  </si>
  <si>
    <t xml:space="preserve">Clearwater Preparatory  </t>
  </si>
  <si>
    <t xml:space="preserve">Evergreen Valley School  </t>
  </si>
  <si>
    <t xml:space="preserve">Highland Ridge Academy  </t>
  </si>
  <si>
    <t xml:space="preserve">Valley Springs School  </t>
  </si>
  <si>
    <t xml:space="preserve">Sunrise Meadow Academy  </t>
  </si>
  <si>
    <t xml:space="preserve">Canyon Springs School  </t>
  </si>
  <si>
    <t xml:space="preserve">Forest Ridge Academy  </t>
  </si>
  <si>
    <t xml:space="preserve">Silverbrook Preparatory  </t>
  </si>
  <si>
    <t xml:space="preserve">Twin Pines Academy  </t>
  </si>
  <si>
    <t xml:space="preserve">Meadow Springs School  </t>
  </si>
  <si>
    <t xml:space="preserve">Skyline Ridge Academy  </t>
  </si>
  <si>
    <t xml:space="preserve">Liberty Hill School  </t>
  </si>
  <si>
    <t xml:space="preserve">Heritage Valley Academy  </t>
  </si>
  <si>
    <t xml:space="preserve">Pioneer Springs School  </t>
  </si>
  <si>
    <t xml:space="preserve">Aspen Creek Academy  </t>
  </si>
  <si>
    <t xml:space="preserve">Cedar Hill Preparatory  </t>
  </si>
  <si>
    <t xml:space="preserve">Maple Crest Academy  </t>
  </si>
  <si>
    <t xml:space="preserve">Riverstone Ridge School  </t>
  </si>
  <si>
    <t xml:space="preserve">Brightwood Academy  </t>
  </si>
  <si>
    <t xml:space="preserve">Northbrook Middle School  </t>
  </si>
  <si>
    <t xml:space="preserve">Southgate Academy  </t>
  </si>
  <si>
    <t xml:space="preserve">East Ridge School  </t>
  </si>
  <si>
    <t xml:space="preserve">Westshore Preparatory  </t>
  </si>
  <si>
    <t xml:space="preserve">Hillview Academy  </t>
  </si>
  <si>
    <t xml:space="preserve">Lighthouse Creek School  </t>
  </si>
  <si>
    <t xml:space="preserve">Greenwood Ridge Academy  </t>
  </si>
  <si>
    <t xml:space="preserve">Lakecrest Charter School  </t>
  </si>
  <si>
    <t xml:space="preserve">Mountain View Preparatory  </t>
  </si>
  <si>
    <t xml:space="preserve">Willow Ridge Academy  </t>
  </si>
  <si>
    <t xml:space="preserve">Brookhaven School  </t>
  </si>
  <si>
    <t xml:space="preserve">Clearbrook Academy  </t>
  </si>
  <si>
    <t xml:space="preserve">Evergreen Crest School  </t>
  </si>
  <si>
    <t xml:space="preserve">Highland Grove Academy  </t>
  </si>
  <si>
    <t xml:space="preserve">Valley Ridge Charter School  </t>
  </si>
  <si>
    <t xml:space="preserve">Sunset Valley Academy  </t>
  </si>
  <si>
    <t xml:space="preserve">Canyon Brook School  </t>
  </si>
  <si>
    <t xml:space="preserve">Forest Creek Academy  </t>
  </si>
  <si>
    <t xml:space="preserve">Silver Valley Preparatory  </t>
  </si>
  <si>
    <t xml:space="preserve">Twin Rivers Charter School  </t>
  </si>
  <si>
    <t xml:space="preserve">Meadow Glen Academy  </t>
  </si>
  <si>
    <t xml:space="preserve">Skyview Ridge School  </t>
  </si>
  <si>
    <t xml:space="preserve">Liberty Springs Academy  </t>
  </si>
  <si>
    <t xml:space="preserve">Heritage Ridge School  </t>
  </si>
  <si>
    <t xml:space="preserve">Pioneer Grove Academy  </t>
  </si>
  <si>
    <t xml:space="preserve">Aspen Valley School  </t>
  </si>
  <si>
    <t xml:space="preserve">Cedar Springs Academy  </t>
  </si>
  <si>
    <t xml:space="preserve">Maple Grove Preparatory  </t>
  </si>
  <si>
    <t xml:space="preserve">Rivercrest Academy  </t>
  </si>
  <si>
    <t xml:space="preserve">Bright Ridge School  </t>
  </si>
  <si>
    <t xml:space="preserve">Northcrest Academy  </t>
  </si>
  <si>
    <t xml:space="preserve">South Valley School  </t>
  </si>
  <si>
    <t xml:space="preserve">Eastbrook Ridge Academy  </t>
  </si>
  <si>
    <t xml:space="preserve">Westgate Preparatory  </t>
  </si>
  <si>
    <t xml:space="preserve">Hillbrook Academy  </t>
  </si>
  <si>
    <t xml:space="preserve">Lighthouse Meadow School  </t>
  </si>
  <si>
    <t xml:space="preserve">Green Hills Academy  </t>
  </si>
  <si>
    <t xml:space="preserve">Lake Ridge Charter School  </t>
  </si>
  <si>
    <t xml:space="preserve">Mountain Springs Academy  </t>
  </si>
  <si>
    <t xml:space="preserve">Willow Valley School  </t>
  </si>
  <si>
    <t xml:space="preserve">Brookstone Academy  </t>
  </si>
  <si>
    <t xml:space="preserve">Clearwater Ridge School  </t>
  </si>
  <si>
    <t xml:space="preserve">Evergreen Meadow Academy  </t>
  </si>
  <si>
    <t xml:space="preserve">Highland Valley School  </t>
  </si>
  <si>
    <t xml:space="preserve">Valley Grove Academy  </t>
  </si>
  <si>
    <t xml:space="preserve">Sunrise Creek School  </t>
  </si>
  <si>
    <t xml:space="preserve">Canyon Valley Academy  </t>
  </si>
  <si>
    <t xml:space="preserve">Forest Meadow School  </t>
  </si>
  <si>
    <t xml:space="preserve">Silver Ridge Academy  </t>
  </si>
  <si>
    <t xml:space="preserve">Twin Peaks School  </t>
  </si>
  <si>
    <t xml:space="preserve">Meadowbrook Ridge Academy  </t>
  </si>
  <si>
    <t xml:space="preserve">Skyline Springs School  </t>
  </si>
  <si>
    <t xml:space="preserve">Liberty Ridge Preparatory  </t>
  </si>
  <si>
    <t xml:space="preserve">Heritage Meadow Academy  </t>
  </si>
  <si>
    <t xml:space="preserve">Pioneer Creek School  </t>
  </si>
  <si>
    <t xml:space="preserve">Aspen Grove Academy  </t>
  </si>
  <si>
    <t xml:space="preserve">Cedar Valley School  </t>
  </si>
  <si>
    <t xml:space="preserve">Maple Springs Academy  </t>
  </si>
  <si>
    <t xml:space="preserve">Riverbrook School  </t>
  </si>
  <si>
    <t xml:space="preserve">Bright Creek Academy  </t>
  </si>
  <si>
    <t xml:space="preserve">Northview Charter School  </t>
  </si>
  <si>
    <t xml:space="preserve">Southbrook Academy  </t>
  </si>
  <si>
    <t xml:space="preserve">Eastgate Preparatory  </t>
  </si>
  <si>
    <t xml:space="preserve">West Valley Academy  </t>
  </si>
  <si>
    <t xml:space="preserve">Hillstone School  </t>
  </si>
  <si>
    <t xml:space="preserve">Lighthouse Ridge Academy  </t>
  </si>
  <si>
    <t xml:space="preserve">Greenfield Springs School  </t>
  </si>
  <si>
    <t xml:space="preserve">Lakewood Ridge Academy  </t>
  </si>
  <si>
    <t xml:space="preserve">Mountain Ridge Preparatory  </t>
  </si>
  <si>
    <t xml:space="preserve">Willow Springs Academy  </t>
  </si>
  <si>
    <t xml:space="preserve">Brookview School  </t>
  </si>
  <si>
    <t xml:space="preserve">Clearview Ridge Academy  </t>
  </si>
  <si>
    <t xml:space="preserve">Evergreen Springs School  </t>
  </si>
  <si>
    <t xml:space="preserve">Highland Meadow Academy  </t>
  </si>
  <si>
    <t xml:space="preserve">Valley Brook School  </t>
  </si>
  <si>
    <t xml:space="preserve">Sunset Grove Academy  </t>
  </si>
  <si>
    <t xml:space="preserve">Canyon Ridge Preparatory  </t>
  </si>
  <si>
    <t xml:space="preserve">Forest Valley School  </t>
  </si>
  <si>
    <t xml:space="preserve">Silver Springs Academy  </t>
  </si>
  <si>
    <t xml:space="preserve">Twin Lakes Ridge School  </t>
  </si>
  <si>
    <t xml:space="preserve">Meadow Valley Academy  </t>
  </si>
  <si>
    <t xml:space="preserve">Skycrest School  </t>
  </si>
  <si>
    <t xml:space="preserve">Liberty Creek Academy  </t>
  </si>
  <si>
    <t xml:space="preserve">Heritage Springs Preparatory  </t>
  </si>
  <si>
    <t xml:space="preserve">Pioneer Ridge School  </t>
  </si>
  <si>
    <t xml:space="preserve">Aspen Meadow Academy  </t>
  </si>
  <si>
    <t xml:space="preserve">Cedar Ridge Charter School  </t>
  </si>
  <si>
    <t xml:space="preserve">Maple Valley Academy  </t>
  </si>
  <si>
    <t xml:space="preserve">River Springs School  </t>
  </si>
  <si>
    <t xml:space="preserve">Bright Valley Academy  </t>
  </si>
  <si>
    <t xml:space="preserve">North Hills School  </t>
  </si>
  <si>
    <t xml:space="preserve">Southview Academy  </t>
  </si>
  <si>
    <t xml:space="preserve">Eastwood Ridge School  </t>
  </si>
  <si>
    <t xml:space="preserve">Westbrook Ridge Academy  </t>
  </si>
  <si>
    <t xml:space="preserve">Hillcrest Ridge School  </t>
  </si>
  <si>
    <t xml:space="preserve">Lighthouse Valley Academy  </t>
  </si>
  <si>
    <t xml:space="preserve">Greenwood Springs School  </t>
  </si>
  <si>
    <t xml:space="preserve">Lakeview Ridge Academy  </t>
  </si>
  <si>
    <t xml:space="preserve">Mountain Grove School  </t>
  </si>
  <si>
    <t xml:space="preserve">Willowbrook Academy  </t>
  </si>
  <si>
    <t xml:space="preserve">Brookside Valley School  </t>
  </si>
  <si>
    <t xml:space="preserve">Clearwater Springs Academy  </t>
  </si>
  <si>
    <t xml:space="preserve">Evergreen Ridge Preparatory  </t>
  </si>
  <si>
    <t xml:space="preserve">Highland Springs School  </t>
  </si>
  <si>
    <t xml:space="preserve">Valley Ridge Academy  </t>
  </si>
  <si>
    <t xml:space="preserve">Sunrise Ridge Preparatory  </t>
  </si>
  <si>
    <t xml:space="preserve">Canyon Grove School  </t>
  </si>
  <si>
    <t xml:space="preserve">Forest Ridge Preparatory  </t>
  </si>
  <si>
    <t xml:space="preserve">Silverbrook Ridge Academy  </t>
  </si>
  <si>
    <t xml:space="preserve">Twin Rivers Meadow School  </t>
  </si>
  <si>
    <t xml:space="preserve">Meadow Springs Academy  </t>
  </si>
  <si>
    <t xml:space="preserve">Skyline Valley School  </t>
  </si>
  <si>
    <t xml:space="preserve">Liberty Ridge Academy  </t>
  </si>
  <si>
    <t xml:space="preserve">Heritage Grove Preparatory  </t>
  </si>
  <si>
    <t xml:space="preserve">Pioneer Valley School  </t>
  </si>
  <si>
    <t xml:space="preserve">Aspen Ridge Preparatory  </t>
  </si>
  <si>
    <t xml:space="preserve">Cedar Grove Academy  </t>
  </si>
  <si>
    <t xml:space="preserve">Maple Ridge School  </t>
  </si>
  <si>
    <t xml:space="preserve">Riverbend Ridge Academy  </t>
  </si>
  <si>
    <t xml:space="preserve">Brightstone Ridge School  </t>
  </si>
  <si>
    <t xml:space="preserve">Northshore Ridge Academy  </t>
  </si>
  <si>
    <t xml:space="preserve">Southcrest Ridge School  </t>
  </si>
  <si>
    <t xml:space="preserve">Eastview Ridge Academy  </t>
  </si>
  <si>
    <t xml:space="preserve">Westlake Ridge School  </t>
  </si>
  <si>
    <t xml:space="preserve">Hilltop Ridge Academy  </t>
  </si>
  <si>
    <t xml:space="preserve">Lighthouse Grove School  </t>
  </si>
  <si>
    <t xml:space="preserve">Green Meadows Ridge Academy  </t>
  </si>
  <si>
    <t xml:space="preserve">Lakewood Springs School  </t>
  </si>
  <si>
    <t xml:space="preserve">Mountain Crest Ridge Academy  </t>
  </si>
  <si>
    <t xml:space="preserve">Willow Creek Ridge School  </t>
  </si>
  <si>
    <t xml:space="preserve">Brookfield Ridge Academy  </t>
  </si>
  <si>
    <t xml:space="preserve">Clearview Springs School  </t>
  </si>
  <si>
    <t xml:space="preserve">Evergreen Valley Preparatory  </t>
  </si>
  <si>
    <t xml:space="preserve">Highland Ridge Preparatory  </t>
  </si>
  <si>
    <t xml:space="preserve">Valley Springs Ridge School  </t>
  </si>
  <si>
    <t xml:space="preserve">Sunset Valley Ridge Academy  </t>
  </si>
  <si>
    <t xml:space="preserve">Canyon Springs Ridge School  </t>
  </si>
  <si>
    <t xml:space="preserve">Forest Hills Ridge Academy  </t>
  </si>
  <si>
    <t xml:space="preserve">Silver Creek Ridge School  </t>
  </si>
  <si>
    <t xml:space="preserve">Twin Lakes Valley Academy  </t>
  </si>
  <si>
    <t xml:space="preserve">Meadow Ridge Preparatory  </t>
  </si>
  <si>
    <t xml:space="preserve">Skyview Springs Academy  </t>
  </si>
  <si>
    <t xml:space="preserve">Liberty Hill Ridge School  </t>
  </si>
  <si>
    <t xml:space="preserve">Heritage Valley Ridge Academy  </t>
  </si>
  <si>
    <t xml:space="preserve">Pioneer Springs Ridge School  </t>
  </si>
  <si>
    <t xml:space="preserve">Aspen Creek Ridge Academy  </t>
  </si>
  <si>
    <t xml:space="preserve">Cedar Hill Ridge School  </t>
  </si>
  <si>
    <t xml:space="preserve">Maple Crest Ridge Academy  </t>
  </si>
  <si>
    <t xml:space="preserve">Riverstone Springs School  </t>
  </si>
  <si>
    <t xml:space="preserve">Brightwood Ridge Academy  </t>
  </si>
  <si>
    <t xml:space="preserve">Northbrook Ridge School  </t>
  </si>
  <si>
    <t xml:space="preserve">Southgate Ridge Academy  </t>
  </si>
  <si>
    <t xml:space="preserve">East Ridge Valley School  </t>
  </si>
  <si>
    <t xml:space="preserve">Westshore Ridge Academy  </t>
  </si>
  <si>
    <t xml:space="preserve">Hillview Ridge School  </t>
  </si>
  <si>
    <t xml:space="preserve">Lighthouse Creek Ridge Academy  </t>
  </si>
  <si>
    <t xml:space="preserve">Greenwood Ridge Preparatory  </t>
  </si>
  <si>
    <t xml:space="preserve">Lakecrest Ridge Academy  </t>
  </si>
  <si>
    <t xml:space="preserve">Mountain View Ridge School  </t>
  </si>
  <si>
    <t xml:space="preserve">Willow Ridge Preparatory  </t>
  </si>
  <si>
    <t xml:space="preserve">Brookhaven Ridge Academy  </t>
  </si>
  <si>
    <t xml:space="preserve">Clearbrook Ridge School  </t>
  </si>
  <si>
    <t xml:space="preserve">Evergreen Crest Ridge Academy  </t>
  </si>
  <si>
    <t xml:space="preserve">Highland Grove Ridge School  </t>
  </si>
  <si>
    <t xml:space="preserve">Valley Ridge Springs Academy  </t>
  </si>
  <si>
    <t xml:space="preserve">Sunset Valley Springs School  </t>
  </si>
  <si>
    <t xml:space="preserve">Canyon Brook Ridge Academy  </t>
  </si>
  <si>
    <t xml:space="preserve">Forest Creek Ridge School  </t>
  </si>
  <si>
    <t xml:space="preserve">Silver Valley Ridge Academy  </t>
  </si>
  <si>
    <t xml:space="preserve">Twin Rivers Ridge Preparatory  </t>
  </si>
  <si>
    <t xml:space="preserve">Meadow Glen Ridge School  </t>
  </si>
  <si>
    <t xml:space="preserve">Skyview Ridge Preparatory  </t>
  </si>
  <si>
    <t xml:space="preserve">Liberty Springs Ridge School  </t>
  </si>
  <si>
    <t xml:space="preserve">Heritage Ridge Valley Academy  </t>
  </si>
  <si>
    <t xml:space="preserve">Pioneer Grove Ridge School  </t>
  </si>
  <si>
    <t xml:space="preserve">Aspen Valley Ridge Academy  </t>
  </si>
  <si>
    <t xml:space="preserve">Cedar Springs Ridge Academy  </t>
  </si>
  <si>
    <t xml:space="preserve">Maple Grove Ridge Academy  </t>
  </si>
  <si>
    <t xml:space="preserve">Rivercrest Ridge School  </t>
  </si>
  <si>
    <t xml:space="preserve">Bright Ridge Preparatory  </t>
  </si>
  <si>
    <t xml:space="preserve">Northcrest Ridge Academy  </t>
  </si>
  <si>
    <t xml:space="preserve">South Valley Ridge School  </t>
  </si>
  <si>
    <t xml:space="preserve">Eastbrook Ridge Preparatory  </t>
  </si>
  <si>
    <t xml:space="preserve">Westgate Ridge Academy  </t>
  </si>
  <si>
    <t xml:space="preserve">Hillbrook Ridge School  </t>
  </si>
  <si>
    <t xml:space="preserve">Lighthouse Meadow Ridge Academy  </t>
  </si>
  <si>
    <t xml:space="preserve">Green Hills Ridge School  </t>
  </si>
  <si>
    <t xml:space="preserve">Lake Ridge Springs Academy  </t>
  </si>
  <si>
    <t xml:space="preserve">Mountain Springs Ridge School  </t>
  </si>
  <si>
    <t xml:space="preserve">Willow Valley Ridge Academy  </t>
  </si>
  <si>
    <t xml:space="preserve">Brookstone Ridge School  </t>
  </si>
  <si>
    <t xml:space="preserve">Clearwater Ridge Preparatory  </t>
  </si>
  <si>
    <t xml:space="preserve">Evergreen Meadow Ridge School  </t>
  </si>
  <si>
    <t xml:space="preserve">Highland Valley Ridge Academy  </t>
  </si>
  <si>
    <t xml:space="preserve">Valley Brook Ridge School  </t>
  </si>
  <si>
    <t xml:space="preserve">Sunrise Creek Ridge Academy  </t>
  </si>
  <si>
    <t xml:space="preserve">Canyon Valley Ridge School  </t>
  </si>
  <si>
    <t xml:space="preserve">Forest Meadow Ridge Academy  </t>
  </si>
  <si>
    <t xml:space="preserve">Silver Ridge Preparatory  </t>
  </si>
  <si>
    <t xml:space="preserve">Twin Peaks Ridge School  </t>
  </si>
  <si>
    <t xml:space="preserve">Meadowbrook Ridge Preparatory  </t>
  </si>
  <si>
    <t xml:space="preserve">Skyline Springs Ridge School  </t>
  </si>
  <si>
    <t xml:space="preserve">Liberty Ridge Valley School  </t>
  </si>
  <si>
    <t xml:space="preserve">Heritage Meadow Ridge School  </t>
  </si>
  <si>
    <t xml:space="preserve">Pioneer Creek Ridge Academy  </t>
  </si>
  <si>
    <t xml:space="preserve">Aspen Grove Ridge School  </t>
  </si>
  <si>
    <t xml:space="preserve">Cedar Valley Ridge Academy  </t>
  </si>
  <si>
    <t xml:space="preserve">Maple Springs Ridge School  </t>
  </si>
  <si>
    <t xml:space="preserve">Riverbrook Ridge Academy  </t>
  </si>
  <si>
    <t xml:space="preserve">Bright Creek Ridge School  </t>
  </si>
  <si>
    <t xml:space="preserve">Northview Ridge Academy  </t>
  </si>
  <si>
    <t xml:space="preserve">Southbrook Ridge School  </t>
  </si>
  <si>
    <t xml:space="preserve">Eastgate Ridge Academy  </t>
  </si>
  <si>
    <t xml:space="preserve">West Valley Ridge School  </t>
  </si>
  <si>
    <t xml:space="preserve">Hillstone Ridge Academy  </t>
  </si>
  <si>
    <t xml:space="preserve">Lighthouse Ridge Preparatory  </t>
  </si>
  <si>
    <t xml:space="preserve">Greenfield Springs Ridge School  </t>
  </si>
  <si>
    <t xml:space="preserve">Lakewood Ridge Preparatory  </t>
  </si>
  <si>
    <t xml:space="preserve">Mountain Ridge Valley School  </t>
  </si>
  <si>
    <t xml:space="preserve">Willowbrook Ridge Academy  </t>
  </si>
  <si>
    <t xml:space="preserve">Brookview Ridge School  </t>
  </si>
  <si>
    <t xml:space="preserve">Clearview Ridge Preparatory  </t>
  </si>
  <si>
    <t xml:space="preserve">Evergreen Springs Ridge School  </t>
  </si>
  <si>
    <t xml:space="preserve">Highland Meadow Ridge School  </t>
  </si>
  <si>
    <t xml:space="preserve">Valley Brook Preparatory  </t>
  </si>
  <si>
    <t xml:space="preserve">Sunset Grove Ridge School  </t>
  </si>
  <si>
    <t xml:space="preserve">Canyon Ridge Valley Academy  </t>
  </si>
  <si>
    <t xml:space="preserve">Forest Valley Ridge Academy  </t>
  </si>
  <si>
    <t xml:space="preserve">Silver Springs Ridge School  </t>
  </si>
  <si>
    <t xml:space="preserve">Twin Lakes Ridge Preparatory  </t>
  </si>
  <si>
    <t xml:space="preserve">Meadow Valley Ridge School  </t>
  </si>
  <si>
    <t xml:space="preserve">Skycrest Ridge Academy  </t>
  </si>
  <si>
    <t>Dunford</t>
  </si>
  <si>
    <t>Label4</t>
  </si>
  <si>
    <t>Judges 4</t>
  </si>
  <si>
    <t>Bioglow</t>
  </si>
  <si>
    <t>Rivermount Haven 2026 Unearthed Qualifier Tournament</t>
  </si>
  <si>
    <t>2026-vadc-fll-challenge-Unearthed-ojs-Rivermount_Haven.xlsm</t>
  </si>
  <si>
    <t>Solara Crest 2026 Unearthed Qualifier Tournament</t>
  </si>
  <si>
    <t>2026-vadc-fll-challenge-Unearthed-ojs-Solara_Crest.xlsm</t>
  </si>
  <si>
    <t>Brindlewick 2026 Unearthed Qualifier Tournament</t>
  </si>
  <si>
    <t>2026-vadc-fll-challenge-Unearthed-ojs-Brindlewick.xlsm</t>
  </si>
  <si>
    <t>Northfall Reach 2026 Unearthed Qualifier Tournament</t>
  </si>
  <si>
    <t>2026-vadc-fll-challenge-Unearthed-ojs-Northfall_Reach.xlsm</t>
  </si>
  <si>
    <t>Dunford 2026 Unearthed Qualifier Tournament</t>
  </si>
  <si>
    <t>2026-vadc-fll-challenge-Unearthed-ojs-Dunford.xlsm</t>
  </si>
  <si>
    <t>Marinth Bay 2026 Unearthed Qualifier Tournament</t>
  </si>
  <si>
    <t>2026-vadc-fll-challenge-Unearthed-ojs-Marinth_Bay.xlsm</t>
  </si>
  <si>
    <t>Ironvale Junction 2026 Unearthed Qualifier Tournament</t>
  </si>
  <si>
    <t>2026-vadc-fll-challenge-Unearthed-ojs-Ironvale_Junction.xlsm</t>
  </si>
  <si>
    <t>Cinderbrook 2026 Unearthed Qualifier Tournament</t>
  </si>
  <si>
    <t>2026-vadc-fll-challenge-Unearthed-ojs-Cinderbrook.xlsm</t>
  </si>
  <si>
    <t>Velastra Heights 2026 Unearthed Qualifier Tournament3</t>
  </si>
  <si>
    <t>2026-vadc-fll-challenge-Unearthed-ojs-Velastra_Heights.xlsm</t>
  </si>
  <si>
    <t>Port Halcyon 2026 Unearthed Qualifier Tournament3</t>
  </si>
  <si>
    <t>2026-vadc-fll-challenge-Unearthed-ojs-Port_Halcyon.xlsm</t>
  </si>
  <si>
    <t>Thornridge Hollow 2026 Unearthed Qualifier Tournament</t>
  </si>
  <si>
    <t>2026-vadc-fll-challenge-Unearthed-ojs-Thornridge_Hollow.xlsm</t>
  </si>
  <si>
    <t>Azurefen City 2026 Unearthed Qualifier Tournament</t>
  </si>
  <si>
    <t>2026-vadc-fll-challenge-Unearthed-ojs-Azurefen_City.xlsm</t>
  </si>
  <si>
    <t>Redspire Bluff 2026 Unearthed Qualifier Tournament</t>
  </si>
  <si>
    <t>2026-vadc-fll-challenge-Unearthed-ojs-Redspire_Bluff.xlsm</t>
  </si>
  <si>
    <t>Kestrelford 2026 Unearthed Qualifier Tournament</t>
  </si>
  <si>
    <t>2026-vadc-fll-challenge-Unearthed-ojs-Kestrelford.xlsm</t>
  </si>
  <si>
    <t>Moonwell Harbor 2026 Unearthed Qualifier Tournament</t>
  </si>
  <si>
    <t>2026-vadc-fll-challenge-Unearthed-ojs-Moonwell_Harbor.xlsm</t>
  </si>
  <si>
    <t>Driftstone Flats 2026 Unearthed Qualifier Tournament3</t>
  </si>
  <si>
    <t>2026-vadc-fll-challenge-Unearthed-ojs-Driftstone_Flats.xlsm</t>
  </si>
  <si>
    <t>Silverhollow 2026 Unearthed Qualifier Tournament</t>
  </si>
  <si>
    <t>2026-vadc-fll-challenge-Unearthed-ojs-Silverhollow.xlsm</t>
  </si>
  <si>
    <t>Windmere Gate 2026 Unearthed Qualifier Tournament3</t>
  </si>
  <si>
    <t>2026-vadc-fll-challenge-Unearthed-ojs-Windmere_Gate.xlsm</t>
  </si>
  <si>
    <t>Praxion Delta 2026 Unearthed Qualifier Tournament</t>
  </si>
  <si>
    <t>2026-vadc-fll-challenge-Unearthed-ojs-Praxion_Delta.xlsm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</si>
</sst>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Aptos Narrow"/>
      <family val="2"/>
      <scheme val="minor"/>
    </font>
    <font>
      <sz val="11"/>
      <color theme="1"/>
      <name val="Calibri"/>
      <family val="2"/>
    </font>
    <font>
      <sz val="8"/>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8">
    <xf numFmtId="0" fontId="0" fillId="0" borderId="0" xfId="0"/>
    <xf numFmtId="0" fontId="1" fillId="0" borderId="0" xfId="0" applyFont="1"/>
    <xf numFmtId="164" fontId="1" fillId="0" borderId="0" xfId="0" applyNumberFormat="1" applyFont="1"/>
    <xf numFmtId="0" fontId="3" fillId="0" borderId="0" xfId="0" applyFont="1"/>
    <xf numFmtId="14" fontId="1" fillId="0" borderId="0" xfId="0" applyNumberFormat="1" applyFont="1"/>
    <xf numFmtId="0" fontId="1" fillId="0" borderId="1" xfId="0" applyFont="1" applyBorder="1"/>
    <xf numFmtId="0" fontId="1" fillId="2" borderId="0" xfId="0" applyFont="1" applyFill="1"/>
    <xf numFmtId="14" fontId="0" fillId="0" borderId="0" xfId="0" applyNumberFormat="1"/>
  </cellXfs>
  <cellStyles count="1">
    <cellStyle name="Normal" xfId="0" builtinId="0"/>
  </cellStyles>
  <dxfs count="62">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numFmt numFmtId="0" formatCode="General"/>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strike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Calibri"/>
        <family val="2"/>
        <scheme val="none"/>
      </font>
      <numFmt numFmtId="164" formatCode="0.000"/>
    </dxf>
    <dxf>
      <font>
        <b val="0"/>
        <i val="0"/>
        <strike val="0"/>
        <condense val="0"/>
        <extend val="0"/>
        <outline val="0"/>
        <shadow val="0"/>
        <u val="none"/>
        <vertAlign val="baseline"/>
        <sz val="11"/>
        <color theme="1"/>
        <name val="Calibri"/>
        <family val="2"/>
        <scheme val="none"/>
      </font>
      <numFmt numFmtId="164" formatCode="0.000"/>
    </dxf>
    <dxf>
      <font>
        <b val="0"/>
        <i val="0"/>
        <strike val="0"/>
        <condense val="0"/>
        <extend val="0"/>
        <outline val="0"/>
        <shadow val="0"/>
        <u val="none"/>
        <vertAlign val="baseline"/>
        <sz val="11"/>
        <color theme="1"/>
        <name val="Calibri"/>
        <family val="2"/>
        <scheme val="none"/>
      </font>
      <numFmt numFmtId="164" formatCode="0.000"/>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Calibri"/>
        <family val="2"/>
        <scheme val="none"/>
      </font>
    </dxf>
    <dxf>
      <numFmt numFmtId="0" formatCode="General"/>
    </dxf>
    <dxf>
      <font>
        <b val="0"/>
        <i val="0"/>
        <strike val="0"/>
        <condense val="0"/>
        <extend val="0"/>
        <outline val="0"/>
        <shadow val="0"/>
        <u val="none"/>
        <vertAlign val="baseline"/>
        <sz val="11"/>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14</xdr:col>
      <xdr:colOff>504825</xdr:colOff>
      <xdr:row>15</xdr:row>
      <xdr:rowOff>66675</xdr:rowOff>
    </xdr:from>
    <xdr:ext cx="3933825" cy="2675732"/>
    <xdr:sp macro="" textlink="">
      <xdr:nvSpPr>
        <xdr:cNvPr id="2" name="TextBox 1">
          <a:extLst>
            <a:ext uri="{FF2B5EF4-FFF2-40B4-BE49-F238E27FC236}">
              <a16:creationId xmlns:a16="http://schemas.microsoft.com/office/drawing/2014/main" id="{91D2FD2A-433E-4613-8F93-9E74F24AAB72}"/>
            </a:ext>
          </a:extLst>
        </xdr:cNvPr>
        <xdr:cNvSpPr txBox="1"/>
      </xdr:nvSpPr>
      <xdr:spPr>
        <a:xfrm>
          <a:off x="17621250" y="2924175"/>
          <a:ext cx="3933825" cy="2675732"/>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J_ = Judged award</a:t>
          </a:r>
        </a:p>
        <a:p>
          <a:r>
            <a:rPr lang="en-US" sz="1100"/>
            <a:t>P_ = Performance award</a:t>
          </a:r>
        </a:p>
        <a:p>
          <a:endParaRPr lang="en-US" sz="1100"/>
        </a:p>
        <a:p>
          <a:r>
            <a:rPr lang="en-US" sz="1100"/>
            <a:t>Make sure to always put J_Champ first (i.e., column C) because these</a:t>
          </a:r>
          <a:r>
            <a:rPr lang="en-US" sz="1100" baseline="0"/>
            <a:t> awards are listed in the excel dropdown in the same order they are lsited here.</a:t>
          </a:r>
        </a:p>
        <a:p>
          <a:endParaRPr lang="en-US" sz="1100" baseline="0"/>
        </a:p>
        <a:p>
          <a:r>
            <a:rPr lang="en-US" sz="1100" baseline="0"/>
            <a:t>For any tournament-level awards (such as the judges award), be sure to put the same number of awards in each division. For example, if the Norfolk tournament will have 2 judges award, that is the number for the entire tournament including D1 and D2. Place a 2 in both rows for the J_AWD_Judges.</a:t>
          </a:r>
        </a:p>
        <a:p>
          <a:endParaRPr lang="en-US" sz="1100" baseline="0"/>
        </a:p>
        <a:p>
          <a:r>
            <a:rPr lang="en-US" sz="1100" baseline="0"/>
            <a:t>Be sure the award columns here have corresponding entries on the AwardDef worksheet.</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13</xdr:col>
      <xdr:colOff>457200</xdr:colOff>
      <xdr:row>2</xdr:row>
      <xdr:rowOff>180975</xdr:rowOff>
    </xdr:from>
    <xdr:ext cx="3933825" cy="2675732"/>
    <xdr:sp macro="" textlink="">
      <xdr:nvSpPr>
        <xdr:cNvPr id="2" name="TextBox 1">
          <a:extLst>
            <a:ext uri="{FF2B5EF4-FFF2-40B4-BE49-F238E27FC236}">
              <a16:creationId xmlns:a16="http://schemas.microsoft.com/office/drawing/2014/main" id="{C0218E6B-8CE3-005A-5BC2-385E0AEB0F65}"/>
            </a:ext>
          </a:extLst>
        </xdr:cNvPr>
        <xdr:cNvSpPr txBox="1"/>
      </xdr:nvSpPr>
      <xdr:spPr>
        <a:xfrm>
          <a:off x="18383250" y="7419975"/>
          <a:ext cx="3933825" cy="2675732"/>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J_ = Judged award</a:t>
          </a:r>
        </a:p>
        <a:p>
          <a:r>
            <a:rPr lang="en-US" sz="1100"/>
            <a:t>P_ = Performance award</a:t>
          </a:r>
        </a:p>
        <a:p>
          <a:endParaRPr lang="en-US" sz="1100"/>
        </a:p>
        <a:p>
          <a:r>
            <a:rPr lang="en-US" sz="1100"/>
            <a:t>Make sure to always put J_Champ first (i.e., column C) because these</a:t>
          </a:r>
          <a:r>
            <a:rPr lang="en-US" sz="1100" baseline="0"/>
            <a:t> awards are listed in the excel dropdown in the same order they are lsited here.</a:t>
          </a:r>
        </a:p>
        <a:p>
          <a:endParaRPr lang="en-US" sz="1100" baseline="0"/>
        </a:p>
        <a:p>
          <a:r>
            <a:rPr lang="en-US" sz="1100" baseline="0"/>
            <a:t>For any tournament-level awards (such as the judges award), be sure to put the same number of awards in each division. For example, if the Norfolk tournament will have 2 judges award, that is the number for the entire tournament including D1 and D2. Place a 2 in both rows for the J_AWD_Judges.</a:t>
          </a:r>
        </a:p>
        <a:p>
          <a:endParaRPr lang="en-US" sz="1100" baseline="0"/>
        </a:p>
        <a:p>
          <a:r>
            <a:rPr lang="en-US" sz="1100" baseline="0"/>
            <a:t>Be sure the award columns here have corresponding entries on the AwardDef worksheet.</a:t>
          </a:r>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190500</xdr:colOff>
      <xdr:row>1</xdr:row>
      <xdr:rowOff>161925</xdr:rowOff>
    </xdr:from>
    <xdr:ext cx="184731" cy="264560"/>
    <xdr:sp macro="" textlink="">
      <xdr:nvSpPr>
        <xdr:cNvPr id="2" name="TextBox 1">
          <a:extLst>
            <a:ext uri="{FF2B5EF4-FFF2-40B4-BE49-F238E27FC236}">
              <a16:creationId xmlns:a16="http://schemas.microsoft.com/office/drawing/2014/main" id="{7F9F3CDD-FE87-E2B9-AA5D-3D05A51DB04D}"/>
            </a:ext>
          </a:extLst>
        </xdr:cNvPr>
        <xdr:cNvSpPr txBox="1"/>
      </xdr:nvSpPr>
      <xdr:spPr>
        <a:xfrm>
          <a:off x="3152775" y="352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152400</xdr:colOff>
      <xdr:row>0</xdr:row>
      <xdr:rowOff>133350</xdr:rowOff>
    </xdr:from>
    <xdr:ext cx="3571875" cy="1470146"/>
    <xdr:sp macro="" textlink="">
      <xdr:nvSpPr>
        <xdr:cNvPr id="3" name="TextBox 2">
          <a:extLst>
            <a:ext uri="{FF2B5EF4-FFF2-40B4-BE49-F238E27FC236}">
              <a16:creationId xmlns:a16="http://schemas.microsoft.com/office/drawing/2014/main" id="{BD1AF316-5369-AB23-B32D-108D860AF9C5}"/>
            </a:ext>
          </a:extLst>
        </xdr:cNvPr>
        <xdr:cNvSpPr txBox="1"/>
      </xdr:nvSpPr>
      <xdr:spPr>
        <a:xfrm>
          <a:off x="5619750" y="133350"/>
          <a:ext cx="3571875" cy="1470146"/>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If your region uses divisions (such as VA-DC), set "Divisions" to true. Even if you have some tournaments that are a single division, setting this to</a:t>
          </a:r>
          <a:r>
            <a:rPr lang="en-US" sz="1100" baseline="0"/>
            <a:t> true will make sure the "division" language is in the closing ceremony scripts ("The Division 1 first-place champion is team 1234 Lego masters"). Setting Divisions to false will remove all references to the term "division" and will force all tournaments to recognize only a single OJS.</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590549</xdr:colOff>
      <xdr:row>11</xdr:row>
      <xdr:rowOff>142875</xdr:rowOff>
    </xdr:from>
    <xdr:ext cx="9229725" cy="3881319"/>
    <xdr:sp macro="" textlink="">
      <xdr:nvSpPr>
        <xdr:cNvPr id="2" name="TextBox 1">
          <a:extLst>
            <a:ext uri="{FF2B5EF4-FFF2-40B4-BE49-F238E27FC236}">
              <a16:creationId xmlns:a16="http://schemas.microsoft.com/office/drawing/2014/main" id="{F3466F8B-9378-44CD-9881-7BB840BCDB8C}"/>
            </a:ext>
          </a:extLst>
        </xdr:cNvPr>
        <xdr:cNvSpPr txBox="1"/>
      </xdr:nvSpPr>
      <xdr:spPr>
        <a:xfrm>
          <a:off x="590549" y="2238375"/>
          <a:ext cx="9229725" cy="3881319"/>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List all awards that any of your tournaments are using here. </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effectLst/>
              <a:latin typeface="+mn-lt"/>
              <a:ea typeface="+mn-ea"/>
              <a:cs typeface="+mn-cs"/>
            </a:rPr>
            <a:t>Putting an award on this sheet does not automatically mean it will appear in any given tournament OJS. That is determined by how many of those awards are allocated for each tournament on the Tournaments worksheet and DivAwards worksheet. This worksheet only defines the award. If you list an award here that has 0 allocations at any and all tournaments, that award will not show up on any OJS. This is only a lookup table to get the definition for an award</a:t>
          </a:r>
          <a:endParaRPr lang="en-US">
            <a:effectLst/>
          </a:endParaRPr>
        </a:p>
        <a:p>
          <a:endParaRPr lang="en-US" sz="1100"/>
        </a:p>
        <a:p>
          <a:r>
            <a:rPr lang="en-US" sz="1100"/>
            <a:t>For ColumnName, enter in the column name as used on the Tournaments and DivAwards worksheets.</a:t>
          </a:r>
          <a:r>
            <a:rPr lang="en-US" sz="1100" baseline="0"/>
            <a:t> Do not repeat any column names in this column (otherwise only the first one will be used)</a:t>
          </a:r>
          <a:endParaRPr lang="en-US" sz="1100"/>
        </a:p>
        <a:p>
          <a:endParaRPr lang="en-US" sz="1100"/>
        </a:p>
        <a:p>
          <a:r>
            <a:rPr lang="en-US" sz="1100"/>
            <a:t>Enter TRUE or FALSE in the DivAward column. If your region does not use divisions, these</a:t>
          </a:r>
          <a:r>
            <a:rPr lang="en-US" sz="1100" baseline="0"/>
            <a:t> will all be FALSE. If your region does use divisions (such as VA-DC), you might still have some awards that are given at the tournament level (such as a Judges award). Enter FALSE for any awards that are awarded at the tournament level. Awards that are allocated at the division level should have TRUE in this column. If you have "Divisions" set to FALSE on the SeasonInfo worksheet, then all of these should also be false.</a:t>
          </a:r>
        </a:p>
        <a:p>
          <a:endParaRPr lang="en-US" sz="1100" baseline="0"/>
        </a:p>
        <a:p>
          <a:r>
            <a:rPr lang="en-US" sz="1100" baseline="0"/>
            <a:t>Leve zeroes for columns D, E, and F (Tourn, D1Count, and D2Count). Those columns will be automatically entered on your infividual tournament OJS spreadsheets.</a:t>
          </a:r>
        </a:p>
        <a:p>
          <a:endParaRPr lang="en-US" sz="1100" baseline="0"/>
        </a:p>
        <a:p>
          <a:r>
            <a:rPr lang="en-US" sz="1100" baseline="0"/>
            <a:t>Enter the text you want to display in the worksheet dropdowns and the closing ceremony script in columns G  H &amp; I. Label1 will be for first place, Label2 for 2nd, and Label3 for 3rd. You can add more Label# columns if needed.</a:t>
          </a:r>
        </a:p>
        <a:p>
          <a:endParaRPr lang="en-US" sz="1100" baseline="0"/>
        </a:p>
        <a:p>
          <a:r>
            <a:rPr lang="en-US" sz="1100" baseline="0"/>
            <a:t>Enter TRUE or FALSE if this award should appear on the OJS spreadsheet in the OnAwdDropDown column. Normally  Robot Game will not appear on the OJS drop downs since they are calculated automatically.</a:t>
          </a:r>
        </a:p>
        <a:p>
          <a:endParaRPr lang="en-US" sz="1100" baseline="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C2782E-8D00-4650-88D9-CBAFC7F68F2F}" name="Summary" displayName="Summary" ref="A1:U17" totalsRowShown="0" headerRowDxfId="59" dataDxfId="58">
  <autoFilter ref="A1:U17" xr:uid="{BE3A572B-CA44-4747-B917-FCB04945D86D}"/>
  <tableColumns count="21">
    <tableColumn id="1" xr3:uid="{BF1F7E71-E66D-4B0C-89F9-16ABE7AA3A1D}" name="Item" dataDxfId="57"/>
    <tableColumn id="2" xr3:uid="{D668F0F3-57FC-4961-897C-AEAADA4362DF}" name="Newport_News" dataDxfId="56"/>
    <tableColumn id="3" xr3:uid="{0D9B86E2-CF98-40AA-AE69-31D927B8512D}" name="Henrico_Godwin" dataDxfId="55"/>
    <tableColumn id="4" xr3:uid="{23C8D6E7-CDEC-4B0A-A2FB-20309BE65D99}" name="Glen_Allen" dataDxfId="54"/>
    <tableColumn id="5" xr3:uid="{7D2B892A-A9F7-4E1F-A90C-EDFB5485B1AE}" name="Martinsville" dataDxfId="53"/>
    <tableColumn id="6" xr3:uid="{8187554D-A12A-428A-A29B-8D92D08DABAE}" name="Norfolk" dataDxfId="52"/>
    <tableColumn id="7" xr3:uid="{DD480F0C-B63E-4836-8615-3CBD1B456110}" name="Blacksburg" dataDxfId="51"/>
    <tableColumn id="8" xr3:uid="{E55B54A1-2E1E-4E81-B861-1254ADE8C3C7}" name="Abingdon" dataDxfId="50"/>
    <tableColumn id="9" xr3:uid="{F22D09BC-D7FE-45B8-B3AA-4A632D4F0531}" name="Charlottesville" dataDxfId="49"/>
    <tableColumn id="10" xr3:uid="{7703ECD1-EFAA-4F63-9050-425B0B9A7A45}" name="Manassas_1" dataDxfId="48"/>
    <tableColumn id="11" xr3:uid="{4286384C-47D1-4C43-897C-4839794136FF}" name="Chantilly" dataDxfId="47"/>
    <tableColumn id="12" xr3:uid="{B50C72AA-6A79-402B-807E-793A9D5D98BA}" name="Manassas_2" dataDxfId="46"/>
    <tableColumn id="13" xr3:uid="{60408385-DDF9-45CC-BF1F-54054F87E546}" name="Richmond" dataDxfId="45"/>
    <tableColumn id="14" xr3:uid="{E7460837-F884-44D7-8EB3-95FB2CE2AC4A}" name="DC-McKinley" dataDxfId="44"/>
    <tableColumn id="15" xr3:uid="{28672377-5931-492B-B0DB-D60F205A71D1}" name="DC-Friendship" dataDxfId="43"/>
    <tableColumn id="16" xr3:uid="{DE2FA6CE-1FFD-4892-9A73-81E4AA8ECB84}" name="Ashburn" dataDxfId="42"/>
    <tableColumn id="17" xr3:uid="{20F96C36-71C3-4737-9B8E-E6966F5E8BD5}" name="Alexandria" dataDxfId="41"/>
    <tableColumn id="23" xr3:uid="{3DCA30AE-A6A2-4AB3-9296-B49431379BE7}" name="Henrico_Freeman" dataDxfId="40"/>
    <tableColumn id="24" xr3:uid="{DF427F3F-27AF-4F92-A380-9BA8F66764C4}" name="Hayfield_1" dataDxfId="39"/>
    <tableColumn id="25" xr3:uid="{8B42BC8B-8E1F-4C9D-BAD3-BE48C8E8FB14}" name="Hayfield_2" dataDxfId="38"/>
    <tableColumn id="18" xr3:uid="{B503E49C-2072-4A2D-8458-9F5C833A9CE4}" name="Test" dataDxfId="3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B16C461-5BC9-4866-8279-89BA5266DF3D}" name="TournamentList" displayName="TournamentList" ref="A1:N20" totalsRowShown="0" headerRowDxfId="36" dataDxfId="35">
  <autoFilter ref="A1:N20" xr:uid="{7B16C461-5BC9-4866-8279-89BA5266DF3D}"/>
  <tableColumns count="14">
    <tableColumn id="1" xr3:uid="{41ADFF91-8737-40DB-B5BF-F1FE1207C8F3}" name="Short Name" dataDxfId="34"/>
    <tableColumn id="2" xr3:uid="{8C615F1E-6A8E-4D42-B4AF-FF0093E0EF5D}" name="Long Name" dataDxfId="33"/>
    <tableColumn id="5" xr3:uid="{60E0111B-D905-482F-A1BA-7C258739C404}" name="Date" dataDxfId="32"/>
    <tableColumn id="3" xr3:uid="{CD391DEA-3CAA-4B07-95CE-E82E2C75503C}" name="OJS_FileName" dataDxfId="31"/>
    <tableColumn id="16" xr3:uid="{589BE392-D192-48FB-BD40-5702D58DF938}" name="J_AWD_CHAMP" dataDxfId="30"/>
    <tableColumn id="17" xr3:uid="{FA8383F9-491B-4BD1-9FCC-9EAEE62C41B4}" name="J_AWD_IP" dataDxfId="29"/>
    <tableColumn id="18" xr3:uid="{88F56DA0-0566-4649-B005-071E67DC4D86}" name="J_AWD_RD" dataDxfId="28"/>
    <tableColumn id="19" xr3:uid="{931DAD6B-FFB1-4AF8-BE54-1AC7E9E2A345}" name="J_AWD_CV" dataDxfId="27"/>
    <tableColumn id="20" xr3:uid="{D867B27A-ED2F-4865-98DB-CECEFC2403A4}" name="J_AWD_Judges" dataDxfId="26"/>
    <tableColumn id="21" xr3:uid="{10865F36-DA77-4444-9FB1-1A3A1ED5430D}" name="P_AWD_RG" dataDxfId="25"/>
    <tableColumn id="22" xr3:uid="{7425636E-CB8A-4393-9F08-52250AF37B31}" name="J_AWD_BT" dataDxfId="24"/>
    <tableColumn id="23" xr3:uid="{0D14A66D-182C-4868-A20E-357F8EC3C9C7}" name="J_AWD_RisAll" dataDxfId="23"/>
    <tableColumn id="24" xr3:uid="{635C8BEE-8813-4870-B73F-F5B068653F7E}" name="J_AWD_CL" dataDxfId="22"/>
    <tableColumn id="6" xr3:uid="{D992314A-D45D-4770-AE5E-BCF9A32099CC}" name="ADV" dataDxfId="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A06E95-68C8-4940-B680-2C0995F031C3}" name="DivTournamentList" displayName="DivTournamentList" ref="A1:M2" insertRow="1" totalsRowShown="0">
  <autoFilter ref="A1:M2" xr:uid="{B6A06E95-68C8-4940-B680-2C0995F031C3}"/>
  <tableColumns count="13">
    <tableColumn id="1" xr3:uid="{13A1917A-5FA7-45FA-916C-27FE0F8E0A97}" name="Short Name"/>
    <tableColumn id="7" xr3:uid="{9239BE62-20DE-4C00-B4EA-0F023772BA66}" name="Long Name" dataDxfId="20"/>
    <tableColumn id="8" xr3:uid="{3D68214D-736A-4612-8FC4-63A9FB374D80}" name="Date" dataDxfId="19"/>
    <tableColumn id="41" xr3:uid="{FD3155A7-7337-4CCF-8C34-CE92DA3A68FB}" name="Div"/>
    <tableColumn id="2" xr3:uid="{6D5A88F8-4F5F-4888-9747-1A76C77056E2}" name="Helper" dataDxfId="18">
      <calculatedColumnFormula>DivTournamentList[[#This Row],[Short Name]]&amp;DivTournamentList[[#This Row],[Div]]</calculatedColumnFormula>
    </tableColumn>
    <tableColumn id="6" xr3:uid="{A8A35723-08A9-4CA4-B0A0-9D1F1126A77A}" name="OJS_FileName">
      <calculatedColumnFormula>"2025-vadc-fll-challenge-Unearthed-ojs-" &amp; DivTournamentList[[#This Row],[Helper]] &amp; ".xlsm"</calculatedColumnFormula>
    </tableColumn>
    <tableColumn id="21" xr3:uid="{77D06F86-14CD-457E-96E9-6EB6B7AFEB60}" name="J_AWD_CHAMP" dataDxfId="17"/>
    <tableColumn id="22" xr3:uid="{996BB723-6D12-4C0A-9F23-3D5E78572496}" name="J_AWD_RD" dataDxfId="16"/>
    <tableColumn id="23" xr3:uid="{3C6ED932-F80C-4988-A3E5-3724D007931F}" name="J_AWD_IP" dataDxfId="15"/>
    <tableColumn id="24" xr3:uid="{C65C332E-AD2E-45F0-90A7-77C4F6D09E4D}" name="J_AWD_CV" dataDxfId="14"/>
    <tableColumn id="25" xr3:uid="{CC3139B7-4C8A-4742-964E-81B4CC04BA42}" name="P_AWD_RG" dataDxfId="13"/>
    <tableColumn id="17" xr3:uid="{705AB0EF-BD9F-4593-A5C8-9E6C4BA5D795}" name="ADV"/>
    <tableColumn id="3" xr3:uid="{A52BA350-4626-44A2-ADDE-201A847CD93A}" name="J_AWD_Judges" dataDxfId="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45E064-699F-4B50-AC64-10C5360A5DC3}" name="Assignments" displayName="Assignments" ref="A1:H418" totalsRowShown="0" dataDxfId="11">
  <autoFilter ref="A1:H418" xr:uid="{5245E064-699F-4B50-AC64-10C5360A5DC3}"/>
  <sortState xmlns:xlrd2="http://schemas.microsoft.com/office/spreadsheetml/2017/richdata2" ref="A2:H389">
    <sortCondition ref="F1:F389"/>
  </sortState>
  <tableColumns count="8">
    <tableColumn id="1" xr3:uid="{C494A647-227F-40A0-AF21-8E14E63FAE7A}" name="Short Name" dataDxfId="10"/>
    <tableColumn id="2" xr3:uid="{69A3FC9F-727B-4EFD-819E-768850C8CB00}" name="Team #" dataDxfId="9"/>
    <tableColumn id="3" xr3:uid="{278EACB6-A801-4319-849C-E37D6EAB748F}" name="Team Name" dataDxfId="8"/>
    <tableColumn id="4" xr3:uid="{8F817912-69FC-44DC-91B2-68C5C3575940}" name="Coach Name" dataDxfId="7"/>
    <tableColumn id="5" xr3:uid="{4991FCB8-BE6E-4947-A78F-20515BD2B1BC}" name="Organization" dataDxfId="6"/>
    <tableColumn id="6" xr3:uid="{458789FB-ACA2-4AE5-BF28-87906130022C}" name="Div" dataDxfId="5"/>
    <tableColumn id="7" xr3:uid="{52B92E3D-40FD-492A-B778-6CC6A1C881B2}" name="Mem" dataDxfId="4"/>
    <tableColumn id="8" xr3:uid="{78B6183D-6435-4716-A451-31227AA321DB}" name="State?" dataDxfId="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657A99-D095-41E6-8647-D7ADD5411F40}" name="SeasonInfo" displayName="SeasonInfo" ref="A1:B4" totalsRowShown="0" dataDxfId="2">
  <autoFilter ref="A1:B4" xr:uid="{0F657A99-D095-41E6-8647-D7ADD5411F40}"/>
  <tableColumns count="2">
    <tableColumn id="1" xr3:uid="{962D98B7-2F6C-42A1-A5DF-ECC2C1221D6F}" name="Key" dataDxfId="1"/>
    <tableColumn id="2" xr3:uid="{37DF278B-FFB0-4267-BFAB-CC838DF07745}" name="Value" dataDxfId="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1F126B-945C-406B-8B73-6AF5B012AD28}" name="AwardDef" displayName="AwardDef" ref="A1:M11" totalsRowShown="0">
  <autoFilter ref="A1:M11" xr:uid="{911F126B-945C-406B-8B73-6AF5B012AD28}"/>
  <tableColumns count="13">
    <tableColumn id="10" xr3:uid="{B41192A5-5C82-4CE9-9376-A4AFC0CEE29B}" name="ColumnName"/>
    <tableColumn id="1" xr3:uid="{C00D0298-00CB-405A-9FB6-4C27D86F85D1}" name="Name"/>
    <tableColumn id="2" xr3:uid="{65E347C4-BA14-4E91-920A-792F716E3F63}" name="DivAward"/>
    <tableColumn id="3" xr3:uid="{F1B4BBB9-DACA-407B-B0AC-4F17380F8BEE}" name="TournCount"/>
    <tableColumn id="4" xr3:uid="{564EE955-C48E-4A70-B4C7-34248B78496C}" name="D1Count"/>
    <tableColumn id="5" xr3:uid="{7866C53E-690A-4804-BD3D-C99F1ADEB21F}" name="D2Count"/>
    <tableColumn id="6" xr3:uid="{EEFBBC6F-CF8F-4FE8-BE3D-D91C8CABE912}" name="Label1"/>
    <tableColumn id="7" xr3:uid="{897E788E-D315-4E7E-A1AC-49820BBFB9A5}" name="Label2"/>
    <tableColumn id="8" xr3:uid="{E26B4312-7FC9-4579-A70A-7D924354D1F2}" name="Label3"/>
    <tableColumn id="13" xr3:uid="{C6E2D7FE-7448-43AE-8749-12C29B110EE4}" name="Label4"/>
    <tableColumn id="9" xr3:uid="{79435CB7-831E-44F5-A8B0-E180CE994FB7}" name="ScriptTagD1" dataDxfId="61"/>
    <tableColumn id="11" xr3:uid="{2F71C9A4-AB72-4FDD-A6C5-F9EEF00C9FE2}" name="ScriptTagD2" dataDxfId="60">
      <calculatedColumnFormula>AwardDef[[#This Row],[ScriptTagD1]]&amp;"_D1"</calculatedColumnFormula>
    </tableColumn>
    <tableColumn id="12" xr3:uid="{7152FBBF-AE08-45A5-B19E-BDA2ED08288B}" name="ScriptTagNoDiv"/>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20C16-759B-4D97-9825-4887115BA2E4}">
  <dimension ref="A1:U17"/>
  <sheetViews>
    <sheetView workbookViewId="0">
      <selection activeCell="B11" sqref="B11"/>
    </sheetView>
  </sheetViews>
  <sheetFormatPr defaultRowHeight="15" x14ac:dyDescent="0.25"/>
  <cols>
    <col min="1" max="1" width="26.85546875" customWidth="1"/>
    <col min="2" max="2" width="14.42578125" customWidth="1"/>
    <col min="3" max="3" width="8.7109375" customWidth="1"/>
    <col min="4" max="4" width="11" customWidth="1"/>
    <col min="5" max="5" width="12.140625" customWidth="1"/>
    <col min="6" max="6" width="8.5703125" customWidth="1"/>
    <col min="7" max="7" width="11" customWidth="1"/>
    <col min="8" max="8" width="10.28515625" customWidth="1"/>
    <col min="9" max="9" width="14.140625" customWidth="1"/>
    <col min="10" max="10" width="11.42578125" customWidth="1"/>
    <col min="11" max="11" width="8" customWidth="1"/>
    <col min="12" max="12" width="11.42578125" customWidth="1"/>
    <col min="13" max="13" width="10.42578125" customWidth="1"/>
    <col min="14" max="14" width="12.7109375" customWidth="1"/>
    <col min="15" max="15" width="13.7109375" customWidth="1"/>
    <col min="16" max="16" width="9.28515625" customWidth="1"/>
    <col min="17" max="20" width="11.140625" customWidth="1"/>
  </cols>
  <sheetData>
    <row r="1" spans="1:21" x14ac:dyDescent="0.25">
      <c r="A1" s="1" t="s">
        <v>15</v>
      </c>
      <c r="B1" s="1" t="s">
        <v>24</v>
      </c>
      <c r="C1" s="1" t="s">
        <v>46</v>
      </c>
      <c r="D1" s="1" t="s">
        <v>25</v>
      </c>
      <c r="E1" s="1" t="s">
        <v>1</v>
      </c>
      <c r="F1" s="1" t="s">
        <v>2</v>
      </c>
      <c r="G1" s="1" t="s">
        <v>3</v>
      </c>
      <c r="H1" s="1" t="s">
        <v>4</v>
      </c>
      <c r="I1" s="1" t="s">
        <v>5</v>
      </c>
      <c r="J1" s="1" t="s">
        <v>26</v>
      </c>
      <c r="K1" s="1" t="s">
        <v>48</v>
      </c>
      <c r="L1" s="1" t="s">
        <v>27</v>
      </c>
      <c r="M1" s="1" t="s">
        <v>6</v>
      </c>
      <c r="N1" s="1" t="s">
        <v>8</v>
      </c>
      <c r="O1" s="1" t="s">
        <v>9</v>
      </c>
      <c r="P1" s="1" t="s">
        <v>7</v>
      </c>
      <c r="Q1" s="1" t="s">
        <v>10</v>
      </c>
      <c r="R1" s="1" t="s">
        <v>47</v>
      </c>
      <c r="S1" s="1" t="s">
        <v>49</v>
      </c>
      <c r="T1" s="1" t="s">
        <v>50</v>
      </c>
      <c r="U1" s="1" t="s">
        <v>45</v>
      </c>
    </row>
    <row r="2" spans="1:21" x14ac:dyDescent="0.25">
      <c r="A2" s="1" t="s">
        <v>35</v>
      </c>
      <c r="B2" s="1">
        <f>SUM(B3:B4)</f>
        <v>0</v>
      </c>
      <c r="C2" s="1">
        <f t="shared" ref="C2:Q2" si="0">SUM(C3:C4)</f>
        <v>0</v>
      </c>
      <c r="D2" s="1">
        <f t="shared" si="0"/>
        <v>0</v>
      </c>
      <c r="E2" s="1">
        <f t="shared" si="0"/>
        <v>0</v>
      </c>
      <c r="F2" s="1">
        <f t="shared" si="0"/>
        <v>0</v>
      </c>
      <c r="G2" s="1">
        <f t="shared" si="0"/>
        <v>0</v>
      </c>
      <c r="H2" s="1">
        <f t="shared" si="0"/>
        <v>0</v>
      </c>
      <c r="I2" s="1">
        <f t="shared" si="0"/>
        <v>0</v>
      </c>
      <c r="J2" s="1">
        <f t="shared" si="0"/>
        <v>0</v>
      </c>
      <c r="K2" s="1">
        <f t="shared" si="0"/>
        <v>0</v>
      </c>
      <c r="L2" s="1">
        <f t="shared" si="0"/>
        <v>0</v>
      </c>
      <c r="M2" s="1">
        <f t="shared" si="0"/>
        <v>0</v>
      </c>
      <c r="N2" s="1">
        <f t="shared" si="0"/>
        <v>0</v>
      </c>
      <c r="O2" s="1">
        <f t="shared" si="0"/>
        <v>0</v>
      </c>
      <c r="P2" s="1">
        <f t="shared" si="0"/>
        <v>0</v>
      </c>
      <c r="Q2" s="1">
        <f t="shared" si="0"/>
        <v>0</v>
      </c>
      <c r="R2" s="1">
        <f t="shared" ref="R2:S2" si="1">SUM(R3:R4)</f>
        <v>0</v>
      </c>
      <c r="S2" s="1">
        <f t="shared" si="1"/>
        <v>0</v>
      </c>
      <c r="T2" s="1">
        <f t="shared" ref="T2" si="2">SUM(T3:T4)</f>
        <v>0</v>
      </c>
      <c r="U2" s="1">
        <f t="shared" ref="U2" si="3">SUM(U3:U4)</f>
        <v>0</v>
      </c>
    </row>
    <row r="3" spans="1:21" x14ac:dyDescent="0.25">
      <c r="A3" s="1" t="s">
        <v>36</v>
      </c>
      <c r="B3" s="1">
        <f>COUNTIFS(Assignments[Short Name],B1,Assignments[Div],"D1")</f>
        <v>0</v>
      </c>
      <c r="C3" s="1">
        <f>COUNTIFS(Assignments[Short Name],C1,Assignments[Div],"D1")</f>
        <v>0</v>
      </c>
      <c r="D3" s="1">
        <f>COUNTIFS(Assignments[Short Name],D1,Assignments[Div],"D1")</f>
        <v>0</v>
      </c>
      <c r="E3" s="1">
        <f>COUNTIFS(Assignments[Short Name],E1,Assignments[Div],"D1")</f>
        <v>0</v>
      </c>
      <c r="F3" s="1">
        <f>COUNTIFS(Assignments[Short Name],F1,Assignments[Div],"D1")</f>
        <v>0</v>
      </c>
      <c r="G3" s="1">
        <f>COUNTIFS(Assignments[Short Name],G1,Assignments[Div],"D1")</f>
        <v>0</v>
      </c>
      <c r="H3" s="1">
        <f>COUNTIFS(Assignments[Short Name],H1,Assignments[Div],"D1")</f>
        <v>0</v>
      </c>
      <c r="I3" s="1">
        <f>COUNTIFS(Assignments[Short Name],I1,Assignments[Div],"D1")</f>
        <v>0</v>
      </c>
      <c r="J3" s="1">
        <f>COUNTIFS(Assignments[Short Name],J1,Assignments[Div],"D1")</f>
        <v>0</v>
      </c>
      <c r="K3" s="1">
        <f>COUNTIFS(Assignments[Short Name],K1,Assignments[Div],"D1")</f>
        <v>0</v>
      </c>
      <c r="L3" s="1">
        <f>COUNTIFS(Assignments[Short Name],L1,Assignments[Div],"D1")</f>
        <v>0</v>
      </c>
      <c r="M3" s="1">
        <f>COUNTIFS(Assignments[Short Name],M1,Assignments[Div],"D1")</f>
        <v>0</v>
      </c>
      <c r="N3" s="1">
        <f>COUNTIFS(Assignments[Short Name],N1,Assignments[Div],"D1")</f>
        <v>0</v>
      </c>
      <c r="O3" s="1">
        <f>COUNTIFS(Assignments[Short Name],O1,Assignments[Div],"D1")</f>
        <v>0</v>
      </c>
      <c r="P3" s="1">
        <f>COUNTIFS(Assignments[Short Name],P1,Assignments[Div],"D1")</f>
        <v>0</v>
      </c>
      <c r="Q3" s="1">
        <f>COUNTIFS(Assignments[Short Name],Q1,Assignments[Div],"D1")</f>
        <v>0</v>
      </c>
      <c r="R3" s="1">
        <f>COUNTIFS(Assignments[Short Name],R1,Assignments[Div],"D1")</f>
        <v>0</v>
      </c>
      <c r="S3" s="1">
        <f>COUNTIFS(Assignments[Short Name],S1,Assignments[Div],"D1")</f>
        <v>0</v>
      </c>
      <c r="T3" s="1">
        <f>COUNTIFS(Assignments[Short Name],T1,Assignments[Div],"D1")</f>
        <v>0</v>
      </c>
      <c r="U3" s="1">
        <f>COUNTIFS(Assignments[Short Name],U1,Assignments[Div],"D1")</f>
        <v>0</v>
      </c>
    </row>
    <row r="4" spans="1:21" x14ac:dyDescent="0.25">
      <c r="A4" s="1" t="s">
        <v>37</v>
      </c>
      <c r="B4" s="1">
        <f>COUNTIFS(Assignments[Short Name],B1,Assignments[Div],"D2")</f>
        <v>0</v>
      </c>
      <c r="C4" s="1">
        <f>COUNTIFS(Assignments[Short Name],C1,Assignments[Div],"D2")</f>
        <v>0</v>
      </c>
      <c r="D4" s="1">
        <f>COUNTIFS(Assignments[Short Name],D1,Assignments[Div],"D2")</f>
        <v>0</v>
      </c>
      <c r="E4" s="1">
        <f>COUNTIFS(Assignments[Short Name],E1,Assignments[Div],"D2")</f>
        <v>0</v>
      </c>
      <c r="F4" s="1">
        <f>COUNTIFS(Assignments[Short Name],F1,Assignments[Div],"D2")</f>
        <v>0</v>
      </c>
      <c r="G4" s="1">
        <f>COUNTIFS(Assignments[Short Name],G1,Assignments[Div],"D2")</f>
        <v>0</v>
      </c>
      <c r="H4" s="1">
        <f>COUNTIFS(Assignments[Short Name],H1,Assignments[Div],"D2")</f>
        <v>0</v>
      </c>
      <c r="I4" s="1">
        <f>COUNTIFS(Assignments[Short Name],I1,Assignments[Div],"D2")</f>
        <v>0</v>
      </c>
      <c r="J4" s="1">
        <f>COUNTIFS(Assignments[Short Name],J1,Assignments[Div],"D2")</f>
        <v>0</v>
      </c>
      <c r="K4" s="1">
        <f>COUNTIFS(Assignments[Short Name],K1,Assignments[Div],"D2")</f>
        <v>0</v>
      </c>
      <c r="L4" s="1">
        <f>COUNTIFS(Assignments[Short Name],L1,Assignments[Div],"D2")</f>
        <v>0</v>
      </c>
      <c r="M4" s="1">
        <f>COUNTIFS(Assignments[Short Name],M1,Assignments[Div],"D2")</f>
        <v>0</v>
      </c>
      <c r="N4" s="1">
        <f>COUNTIFS(Assignments[Short Name],N1,Assignments[Div],"D2")</f>
        <v>0</v>
      </c>
      <c r="O4" s="1">
        <f>COUNTIFS(Assignments[Short Name],O1,Assignments[Div],"D2")</f>
        <v>0</v>
      </c>
      <c r="P4" s="1">
        <f>COUNTIFS(Assignments[Short Name],P1,Assignments[Div],"D2")</f>
        <v>0</v>
      </c>
      <c r="Q4" s="1">
        <f>COUNTIFS(Assignments[Short Name],Q1,Assignments[Div],"D2")</f>
        <v>0</v>
      </c>
      <c r="R4" s="1">
        <f>COUNTIFS(Assignments[Short Name],R1,Assignments[Div],"D2")</f>
        <v>0</v>
      </c>
      <c r="S4" s="1">
        <f>COUNTIFS(Assignments[Short Name],S1,Assignments[Div],"D2")</f>
        <v>0</v>
      </c>
      <c r="T4" s="1">
        <f>COUNTIFS(Assignments[Short Name],T1,Assignments[Div],"D2")</f>
        <v>0</v>
      </c>
      <c r="U4" s="1">
        <f>COUNTIFS(Assignments[Short Name],U1,Assignments[Div],"D2")</f>
        <v>0</v>
      </c>
    </row>
    <row r="5" spans="1:21" x14ac:dyDescent="0.25">
      <c r="A5" s="1" t="s">
        <v>38</v>
      </c>
      <c r="B5" s="1" t="e">
        <f>VLOOKUP(Summary[[#Headers],[Newport_News]],TournamentList[],12,0)</f>
        <v>#N/A</v>
      </c>
      <c r="C5" s="1" t="e">
        <f>VLOOKUP(Summary[[#Headers],[Henrico_Godwin]],TournamentList[],12,0)</f>
        <v>#N/A</v>
      </c>
      <c r="D5" s="1" t="e">
        <f>VLOOKUP(Summary[[#Headers],[Glen_Allen]],TournamentList[],12,0)</f>
        <v>#N/A</v>
      </c>
      <c r="E5" s="1" t="e">
        <f>VLOOKUP(Summary[[#Headers],[Martinsville]],TournamentList[],12,0)</f>
        <v>#N/A</v>
      </c>
      <c r="F5" s="1" t="e">
        <f>VLOOKUP(Summary[[#Headers],[Norfolk]],TournamentList[],12,0)</f>
        <v>#N/A</v>
      </c>
      <c r="G5" s="1" t="e">
        <f>VLOOKUP(Summary[[#Headers],[Blacksburg]],TournamentList[],12,0)</f>
        <v>#N/A</v>
      </c>
      <c r="H5" s="1" t="e">
        <f>VLOOKUP(Summary[[#Headers],[Abingdon]],TournamentList[],12,0)</f>
        <v>#N/A</v>
      </c>
      <c r="I5" s="1" t="e">
        <f>VLOOKUP(Summary[[#Headers],[Charlottesville]],TournamentList[],12,0)</f>
        <v>#N/A</v>
      </c>
      <c r="J5" s="1" t="e">
        <f>VLOOKUP(Summary[[#Headers],[Manassas_1]],TournamentList[],12,0)</f>
        <v>#N/A</v>
      </c>
      <c r="K5" s="1" t="e">
        <f>VLOOKUP(Summary[[#Headers],[Chantilly]],TournamentList[],12,0)</f>
        <v>#N/A</v>
      </c>
      <c r="L5" s="1" t="e">
        <f>VLOOKUP(Summary[[#Headers],[Manassas_2]],TournamentList[],12,0)</f>
        <v>#N/A</v>
      </c>
      <c r="M5" s="1" t="e">
        <f>VLOOKUP(Summary[[#Headers],[Richmond]],TournamentList[],12,0)</f>
        <v>#N/A</v>
      </c>
      <c r="N5" s="1" t="e">
        <f>VLOOKUP(Summary[[#Headers],[DC-McKinley]],TournamentList[],12,0)</f>
        <v>#N/A</v>
      </c>
      <c r="O5" s="1" t="e">
        <f>VLOOKUP(Summary[[#Headers],[DC-Friendship]],TournamentList[],12,0)</f>
        <v>#N/A</v>
      </c>
      <c r="P5" s="1" t="e">
        <f>VLOOKUP(Summary[[#Headers],[Ashburn]],TournamentList[],12,0)</f>
        <v>#N/A</v>
      </c>
      <c r="Q5" s="1" t="e">
        <f>VLOOKUP(Summary[[#Headers],[Alexandria]],TournamentList[],12,0)</f>
        <v>#N/A</v>
      </c>
      <c r="R5" s="1" t="e">
        <f>VLOOKUP(Summary[[#Headers],[Henrico_Freeman]],TournamentList[],12,0)</f>
        <v>#N/A</v>
      </c>
      <c r="S5" s="1" t="e">
        <f>VLOOKUP(Summary[[#Headers],[Hayfield_1]],TournamentList[],12,0)</f>
        <v>#N/A</v>
      </c>
      <c r="T5" s="1" t="e">
        <f>VLOOKUP(Summary[[#Headers],[Hayfield_2]],TournamentList[],12,0)</f>
        <v>#N/A</v>
      </c>
      <c r="U5" s="1" t="e">
        <f>VLOOKUP(Summary[[#Headers],[Test]],TournamentList[],12,0)</f>
        <v>#N/A</v>
      </c>
    </row>
    <row r="6" spans="1:21" x14ac:dyDescent="0.25">
      <c r="A6" s="1" t="s">
        <v>39</v>
      </c>
      <c r="B6" s="1">
        <v>1</v>
      </c>
      <c r="C6" s="1">
        <v>1</v>
      </c>
      <c r="D6" s="1">
        <v>1</v>
      </c>
      <c r="E6" s="1">
        <v>1</v>
      </c>
      <c r="F6" s="1">
        <v>1</v>
      </c>
      <c r="G6" s="1">
        <v>1</v>
      </c>
      <c r="H6" s="1">
        <v>1</v>
      </c>
      <c r="I6" s="1">
        <v>1</v>
      </c>
      <c r="J6" s="1">
        <v>1</v>
      </c>
      <c r="K6" s="1">
        <v>1</v>
      </c>
      <c r="L6" s="1">
        <v>1</v>
      </c>
      <c r="M6" s="1">
        <v>1</v>
      </c>
      <c r="N6" s="1">
        <v>1</v>
      </c>
      <c r="O6" s="1">
        <v>1</v>
      </c>
      <c r="P6" s="1">
        <v>1</v>
      </c>
      <c r="Q6" s="1">
        <v>1</v>
      </c>
      <c r="R6" s="1">
        <v>1</v>
      </c>
      <c r="S6" s="1">
        <v>1</v>
      </c>
      <c r="T6" s="1">
        <v>1</v>
      </c>
      <c r="U6" s="1">
        <v>2</v>
      </c>
    </row>
    <row r="7" spans="1:21" x14ac:dyDescent="0.25">
      <c r="A7" s="1" t="s">
        <v>28</v>
      </c>
      <c r="B7" s="1" t="e" cm="1">
        <f t="array" ref="B7">_xlfn.XLOOKUP(Summary[[#Headers],[Newport_News]]&amp;"D1",DivTournamentList[[Helper]:[Helper]],DivTournamentList[[J_AWD_Judges]:[J_AWD_Judges]])</f>
        <v>#N/A</v>
      </c>
      <c r="C7" s="1" t="e" cm="1">
        <f t="array" ref="C7">_xlfn.XLOOKUP(Summary[[#Headers],[Henrico_Godwin]]&amp;"D1",DivTournamentList[[Helper]:[Helper]],DivTournamentList[[J_AWD_Judges]:[J_AWD_Judges]])</f>
        <v>#N/A</v>
      </c>
      <c r="D7" s="1" t="e" cm="1">
        <f t="array" ref="D7">_xlfn.XLOOKUP(Summary[[#Headers],[Glen_Allen]]&amp;"D1",DivTournamentList[[Helper]:[Helper]],DivTournamentList[[J_AWD_Judges]:[J_AWD_Judges]])</f>
        <v>#N/A</v>
      </c>
      <c r="E7" s="1" t="e" cm="1">
        <f t="array" ref="E7">_xlfn.XLOOKUP(Summary[[#Headers],[Martinsville]]&amp;"D1",DivTournamentList[[Helper]:[Helper]],DivTournamentList[[J_AWD_Judges]:[J_AWD_Judges]])</f>
        <v>#N/A</v>
      </c>
      <c r="F7" s="1" t="e" cm="1">
        <f t="array" ref="F7">_xlfn.XLOOKUP(Summary[[#Headers],[Norfolk]]&amp;"D1",DivTournamentList[[Helper]:[Helper]],DivTournamentList[[J_AWD_Judges]:[J_AWD_Judges]])</f>
        <v>#N/A</v>
      </c>
      <c r="G7" s="1" t="e" cm="1">
        <f t="array" ref="G7">_xlfn.XLOOKUP(Summary[[#Headers],[Blacksburg]]&amp;"D1",DivTournamentList[[Helper]:[Helper]],DivTournamentList[[J_AWD_Judges]:[J_AWD_Judges]])</f>
        <v>#N/A</v>
      </c>
      <c r="H7" s="1" t="e" cm="1">
        <f t="array" ref="H7">_xlfn.XLOOKUP(Summary[[#Headers],[Abingdon]]&amp;"D1",DivTournamentList[[Helper]:[Helper]],DivTournamentList[[J_AWD_Judges]:[J_AWD_Judges]])</f>
        <v>#N/A</v>
      </c>
      <c r="I7" s="1" t="e" cm="1">
        <f t="array" ref="I7">_xlfn.XLOOKUP(Summary[[#Headers],[Charlottesville]]&amp;"D1",DivTournamentList[[Helper]:[Helper]],DivTournamentList[[J_AWD_Judges]:[J_AWD_Judges]])</f>
        <v>#N/A</v>
      </c>
      <c r="J7" s="1" t="e" cm="1">
        <f t="array" ref="J7">_xlfn.XLOOKUP(Summary[[#Headers],[Manassas_1]]&amp;"D1",DivTournamentList[[Helper]:[Helper]],DivTournamentList[[J_AWD_Judges]:[J_AWD_Judges]])</f>
        <v>#N/A</v>
      </c>
      <c r="K7" s="1" t="e" cm="1">
        <f t="array" ref="K7">_xlfn.XLOOKUP(Summary[[#Headers],[Chantilly]]&amp;"D1",DivTournamentList[[Helper]:[Helper]],DivTournamentList[[J_AWD_Judges]:[J_AWD_Judges]])</f>
        <v>#N/A</v>
      </c>
      <c r="L7" s="1" t="e" cm="1">
        <f t="array" ref="L7">_xlfn.XLOOKUP(Summary[[#Headers],[Manassas_2]]&amp;"D1",DivTournamentList[[Helper]:[Helper]],DivTournamentList[[J_AWD_Judges]:[J_AWD_Judges]])</f>
        <v>#N/A</v>
      </c>
      <c r="M7" s="1" t="e" cm="1">
        <f t="array" ref="M7">_xlfn.XLOOKUP(Summary[[#Headers],[Richmond]]&amp;"D1",DivTournamentList[[Helper]:[Helper]],DivTournamentList[[J_AWD_Judges]:[J_AWD_Judges]])</f>
        <v>#N/A</v>
      </c>
      <c r="N7" s="1" t="e" cm="1">
        <f t="array" ref="N7">_xlfn.XLOOKUP(Summary[[#Headers],[DC-McKinley]]&amp;"D1",DivTournamentList[[Helper]:[Helper]],DivTournamentList[[J_AWD_Judges]:[J_AWD_Judges]])</f>
        <v>#N/A</v>
      </c>
      <c r="O7" s="1" t="e" cm="1">
        <f t="array" ref="O7">_xlfn.XLOOKUP(Summary[[#Headers],[DC-Friendship]]&amp;"D1",DivTournamentList[[Helper]:[Helper]],DivTournamentList[[J_AWD_Judges]:[J_AWD_Judges]])</f>
        <v>#N/A</v>
      </c>
      <c r="P7" s="1" t="e" cm="1">
        <f t="array" ref="P7">_xlfn.XLOOKUP(Summary[[#Headers],[Ashburn]]&amp;"D1",DivTournamentList[[Helper]:[Helper]],DivTournamentList[[J_AWD_Judges]:[J_AWD_Judges]])</f>
        <v>#N/A</v>
      </c>
      <c r="Q7" s="1" t="e" cm="1">
        <f t="array" ref="Q7">_xlfn.XLOOKUP(Summary[[#Headers],[Alexandria]]&amp;"D1",DivTournamentList[[Helper]:[Helper]],DivTournamentList[[J_AWD_Judges]:[J_AWD_Judges]])</f>
        <v>#N/A</v>
      </c>
      <c r="R7" s="1" t="e" cm="1">
        <f t="array" ref="R7">_xlfn.XLOOKUP(Summary[[#Headers],[Henrico_Freeman]]&amp;"D1",DivTournamentList[[Helper]:[Helper]],DivTournamentList[[J_AWD_Judges]:[J_AWD_Judges]])</f>
        <v>#N/A</v>
      </c>
      <c r="S7" s="1" t="e" cm="1">
        <f t="array" ref="S7">_xlfn.XLOOKUP(Summary[[#Headers],[Hayfield_1]]&amp;"D1",DivTournamentList[[Helper]:[Helper]],DivTournamentList[[J_AWD_Judges]:[J_AWD_Judges]])</f>
        <v>#N/A</v>
      </c>
      <c r="T7" s="1" t="e" cm="1">
        <f t="array" ref="T7">_xlfn.XLOOKUP(Summary[[#Headers],[Hayfield_2]]&amp;"D1",DivTournamentList[[Helper]:[Helper]],DivTournamentList[[J_AWD_Judges]:[J_AWD_Judges]])</f>
        <v>#N/A</v>
      </c>
      <c r="U7" s="1" t="e" cm="1">
        <f t="array" ref="U7">_xlfn.XLOOKUP(Summary[[#Headers],[Test]]&amp;"D1",DivTournamentList[[Helper]:[Helper]],DivTournamentList[[J_AWD_Judges]:[J_AWD_Judges]])</f>
        <v>#N/A</v>
      </c>
    </row>
    <row r="8" spans="1:21" x14ac:dyDescent="0.25">
      <c r="A8" s="1" t="s">
        <v>29</v>
      </c>
      <c r="B8" s="1" t="e" cm="1">
        <f t="array" ref="B8">_xlfn.XLOOKUP(Summary[[#Headers],[Newport_News]]&amp;"D2",DivTournamentList[[Helper]:[Helper]],DivTournamentList[[J_AWD_Judges]:[J_AWD_Judges]])</f>
        <v>#N/A</v>
      </c>
      <c r="C8" s="1" t="e" cm="1">
        <f t="array" ref="C8">_xlfn.XLOOKUP(Summary[[#Headers],[Henrico_Godwin]]&amp;"D2",DivTournamentList[[Helper]:[Helper]],DivTournamentList[[J_AWD_Judges]:[J_AWD_Judges]])</f>
        <v>#N/A</v>
      </c>
      <c r="D8" s="1" t="e" cm="1">
        <f t="array" ref="D8">_xlfn.XLOOKUP(Summary[[#Headers],[Glen_Allen]]&amp;"D2",DivTournamentList[[Helper]:[Helper]],DivTournamentList[[J_AWD_Judges]:[J_AWD_Judges]])</f>
        <v>#N/A</v>
      </c>
      <c r="E8" s="1" t="e" cm="1">
        <f t="array" ref="E8">_xlfn.XLOOKUP(Summary[[#Headers],[Martinsville]]&amp;"D2",DivTournamentList[[Helper]:[Helper]],DivTournamentList[[J_AWD_Judges]:[J_AWD_Judges]])</f>
        <v>#N/A</v>
      </c>
      <c r="F8" s="1" t="e" cm="1">
        <f t="array" ref="F8">_xlfn.XLOOKUP(Summary[[#Headers],[Norfolk]]&amp;"D2",DivTournamentList[[Helper]:[Helper]],DivTournamentList[[J_AWD_Judges]:[J_AWD_Judges]])</f>
        <v>#N/A</v>
      </c>
      <c r="G8" s="1" t="e" cm="1">
        <f t="array" ref="G8">_xlfn.XLOOKUP(Summary[[#Headers],[Blacksburg]]&amp;"D2",DivTournamentList[[Helper]:[Helper]],DivTournamentList[[J_AWD_Judges]:[J_AWD_Judges]])</f>
        <v>#N/A</v>
      </c>
      <c r="H8" s="1" t="e" cm="1">
        <f t="array" ref="H8">_xlfn.XLOOKUP(Summary[[#Headers],[Abingdon]]&amp;"D2",DivTournamentList[[Helper]:[Helper]],DivTournamentList[[J_AWD_Judges]:[J_AWD_Judges]])</f>
        <v>#N/A</v>
      </c>
      <c r="I8" s="1" t="e" cm="1">
        <f t="array" ref="I8">_xlfn.XLOOKUP(Summary[[#Headers],[Charlottesville]]&amp;"D2",DivTournamentList[[Helper]:[Helper]],DivTournamentList[[J_AWD_Judges]:[J_AWD_Judges]])</f>
        <v>#N/A</v>
      </c>
      <c r="J8" s="1" t="e" cm="1">
        <f t="array" ref="J8">_xlfn.XLOOKUP(Summary[[#Headers],[Manassas_1]]&amp;"D2",DivTournamentList[[Helper]:[Helper]],DivTournamentList[[J_AWD_Judges]:[J_AWD_Judges]])</f>
        <v>#N/A</v>
      </c>
      <c r="K8" s="1" t="e" cm="1">
        <f t="array" ref="K8">_xlfn.XLOOKUP(Summary[[#Headers],[Chantilly]]&amp;"D2",DivTournamentList[[Helper]:[Helper]],DivTournamentList[[J_AWD_Judges]:[J_AWD_Judges]])</f>
        <v>#N/A</v>
      </c>
      <c r="L8" s="1" t="e" cm="1">
        <f t="array" ref="L8">_xlfn.XLOOKUP(Summary[[#Headers],[Manassas_2]]&amp;"D2",DivTournamentList[[Helper]:[Helper]],DivTournamentList[[J_AWD_Judges]:[J_AWD_Judges]])</f>
        <v>#N/A</v>
      </c>
      <c r="M8" s="1" t="e" cm="1">
        <f t="array" ref="M8">_xlfn.XLOOKUP(Summary[[#Headers],[Richmond]]&amp;"D2",DivTournamentList[[Helper]:[Helper]],DivTournamentList[[J_AWD_Judges]:[J_AWD_Judges]])</f>
        <v>#N/A</v>
      </c>
      <c r="N8" s="1" t="e" cm="1">
        <f t="array" ref="N8">_xlfn.XLOOKUP(Summary[[#Headers],[DC-McKinley]]&amp;"D2",DivTournamentList[[Helper]:[Helper]],DivTournamentList[[J_AWD_Judges]:[J_AWD_Judges]])</f>
        <v>#N/A</v>
      </c>
      <c r="O8" s="1" t="e" cm="1">
        <f t="array" ref="O8">_xlfn.XLOOKUP(Summary[[#Headers],[DC-Friendship]]&amp;"D2",DivTournamentList[[Helper]:[Helper]],DivTournamentList[[J_AWD_Judges]:[J_AWD_Judges]])</f>
        <v>#N/A</v>
      </c>
      <c r="P8" s="1" t="e" cm="1">
        <f t="array" ref="P8">_xlfn.XLOOKUP(Summary[[#Headers],[Ashburn]]&amp;"D2",DivTournamentList[[Helper]:[Helper]],DivTournamentList[[J_AWD_Judges]:[J_AWD_Judges]])</f>
        <v>#N/A</v>
      </c>
      <c r="Q8" s="1" t="e" cm="1">
        <f t="array" ref="Q8">_xlfn.XLOOKUP(Summary[[#Headers],[Alexandria]]&amp;"D2",DivTournamentList[[Helper]:[Helper]],DivTournamentList[[J_AWD_Judges]:[J_AWD_Judges]])</f>
        <v>#N/A</v>
      </c>
      <c r="R8" s="1" t="e" cm="1">
        <f t="array" ref="R8">_xlfn.XLOOKUP(Summary[[#Headers],[Henrico_Freeman]]&amp;"D2",DivTournamentList[[Helper]:[Helper]],DivTournamentList[[J_AWD_Judges]:[J_AWD_Judges]])</f>
        <v>#N/A</v>
      </c>
      <c r="S8" s="1" t="e" cm="1">
        <f t="array" ref="S8">_xlfn.XLOOKUP(Summary[[#Headers],[Hayfield_1]]&amp;"D2",DivTournamentList[[Helper]:[Helper]],DivTournamentList[[J_AWD_Judges]:[J_AWD_Judges]])</f>
        <v>#N/A</v>
      </c>
      <c r="T8" s="1" t="e" cm="1">
        <f t="array" ref="T8">_xlfn.XLOOKUP(Summary[[#Headers],[Hayfield_2]]&amp;"D2",DivTournamentList[[Helper]:[Helper]],DivTournamentList[[J_AWD_Judges]:[J_AWD_Judges]])</f>
        <v>#N/A</v>
      </c>
      <c r="U8" s="1" t="e" cm="1">
        <f t="array" ref="U8">_xlfn.XLOOKUP(Summary[[#Headers],[Test]]&amp;"D2",DivTournamentList[[Helper]:[Helper]],DivTournamentList[[J_AWD_Judges]:[J_AWD_Judges]])</f>
        <v>#N/A</v>
      </c>
    </row>
    <row r="9" spans="1:21" x14ac:dyDescent="0.25">
      <c r="A9" s="1" t="s">
        <v>30</v>
      </c>
      <c r="B9" s="1" t="e" cm="1">
        <f t="array" ref="B9">_xlfn.XLOOKUP(Summary[[#Headers],[Newport_News]]&amp;"D1",DivTournamentList[[Helper]:[Helper]],DivTournamentList[[P_AWD_RG]:[P_AWD_RG]])</f>
        <v>#N/A</v>
      </c>
      <c r="C9" s="1" t="e" cm="1">
        <f t="array" ref="C9">_xlfn.XLOOKUP(Summary[[#Headers],[Henrico_Godwin]]&amp;"D1",DivTournamentList[[Helper]:[Helper]],DivTournamentList[[P_AWD_RG]:[P_AWD_RG]])</f>
        <v>#N/A</v>
      </c>
      <c r="D9" s="1" t="e" cm="1">
        <f t="array" ref="D9">_xlfn.XLOOKUP(Summary[[#Headers],[Glen_Allen]]&amp;"D1",DivTournamentList[[Helper]:[Helper]],DivTournamentList[[P_AWD_RG]:[P_AWD_RG]])</f>
        <v>#N/A</v>
      </c>
      <c r="E9" s="1" t="e" cm="1">
        <f t="array" ref="E9">_xlfn.XLOOKUP(Summary[[#Headers],[Martinsville]]&amp;"D1",DivTournamentList[[Helper]:[Helper]],DivTournamentList[[P_AWD_RG]:[P_AWD_RG]])</f>
        <v>#N/A</v>
      </c>
      <c r="F9" s="1" t="e" cm="1">
        <f t="array" ref="F9">_xlfn.XLOOKUP(Summary[[#Headers],[Norfolk]]&amp;"D1",DivTournamentList[[Helper]:[Helper]],DivTournamentList[[P_AWD_RG]:[P_AWD_RG]])</f>
        <v>#N/A</v>
      </c>
      <c r="G9" s="1" t="e" cm="1">
        <f t="array" ref="G9">_xlfn.XLOOKUP(Summary[[#Headers],[Blacksburg]]&amp;"D1",DivTournamentList[[Helper]:[Helper]],DivTournamentList[[P_AWD_RG]:[P_AWD_RG]])</f>
        <v>#N/A</v>
      </c>
      <c r="H9" s="1" t="e" cm="1">
        <f t="array" ref="H9">_xlfn.XLOOKUP(Summary[[#Headers],[Abingdon]]&amp;"D1",DivTournamentList[[Helper]:[Helper]],DivTournamentList[[P_AWD_RG]:[P_AWD_RG]])</f>
        <v>#N/A</v>
      </c>
      <c r="I9" s="1" t="e" cm="1">
        <f t="array" ref="I9">_xlfn.XLOOKUP(Summary[[#Headers],[Charlottesville]]&amp;"D1",DivTournamentList[[Helper]:[Helper]],DivTournamentList[[P_AWD_RG]:[P_AWD_RG]])</f>
        <v>#N/A</v>
      </c>
      <c r="J9" s="1" t="e" cm="1">
        <f t="array" ref="J9">_xlfn.XLOOKUP(Summary[[#Headers],[Manassas_1]]&amp;"D1",DivTournamentList[[Helper]:[Helper]],DivTournamentList[[P_AWD_RG]:[P_AWD_RG]])</f>
        <v>#N/A</v>
      </c>
      <c r="K9" s="1" t="e" cm="1">
        <f t="array" ref="K9">_xlfn.XLOOKUP(Summary[[#Headers],[Chantilly]]&amp;"D1",DivTournamentList[[Helper]:[Helper]],DivTournamentList[[P_AWD_RG]:[P_AWD_RG]])</f>
        <v>#N/A</v>
      </c>
      <c r="L9" s="1" t="e" cm="1">
        <f t="array" ref="L9">_xlfn.XLOOKUP(Summary[[#Headers],[Manassas_2]]&amp;"D1",DivTournamentList[[Helper]:[Helper]],DivTournamentList[[P_AWD_RG]:[P_AWD_RG]])</f>
        <v>#N/A</v>
      </c>
      <c r="M9" s="1" t="e" cm="1">
        <f t="array" ref="M9">_xlfn.XLOOKUP(Summary[[#Headers],[Richmond]]&amp;"D1",DivTournamentList[[Helper]:[Helper]],DivTournamentList[[P_AWD_RG]:[P_AWD_RG]])</f>
        <v>#N/A</v>
      </c>
      <c r="N9" s="1" t="e" cm="1">
        <f t="array" ref="N9">_xlfn.XLOOKUP(Summary[[#Headers],[DC-McKinley]]&amp;"D1",DivTournamentList[[Helper]:[Helper]],DivTournamentList[[P_AWD_RG]:[P_AWD_RG]])</f>
        <v>#N/A</v>
      </c>
      <c r="O9" s="1" t="e" cm="1">
        <f t="array" ref="O9">_xlfn.XLOOKUP(Summary[[#Headers],[DC-Friendship]]&amp;"D1",DivTournamentList[[Helper]:[Helper]],DivTournamentList[[P_AWD_RG]:[P_AWD_RG]])</f>
        <v>#N/A</v>
      </c>
      <c r="P9" s="1" t="e" cm="1">
        <f t="array" ref="P9">_xlfn.XLOOKUP(Summary[[#Headers],[Ashburn]]&amp;"D1",DivTournamentList[[Helper]:[Helper]],DivTournamentList[[P_AWD_RG]:[P_AWD_RG]])</f>
        <v>#N/A</v>
      </c>
      <c r="Q9" s="1" t="e" cm="1">
        <f t="array" ref="Q9">_xlfn.XLOOKUP(Summary[[#Headers],[Alexandria]]&amp;"D1",DivTournamentList[[Helper]:[Helper]],DivTournamentList[[P_AWD_RG]:[P_AWD_RG]])</f>
        <v>#N/A</v>
      </c>
      <c r="R9" s="1" t="e" cm="1">
        <f t="array" ref="R9">_xlfn.XLOOKUP(Summary[[#Headers],[Henrico_Freeman]]&amp;"D1",DivTournamentList[[Helper]:[Helper]],DivTournamentList[[P_AWD_RG]:[P_AWD_RG]])</f>
        <v>#N/A</v>
      </c>
      <c r="S9" s="1" t="e" cm="1">
        <f t="array" ref="S9">_xlfn.XLOOKUP(Summary[[#Headers],[Hayfield_1]]&amp;"D1",DivTournamentList[[Helper]:[Helper]],DivTournamentList[[P_AWD_RG]:[P_AWD_RG]])</f>
        <v>#N/A</v>
      </c>
      <c r="T9" s="1" t="e" cm="1">
        <f t="array" ref="T9">_xlfn.XLOOKUP(Summary[[#Headers],[Hayfield_2]]&amp;"D1",DivTournamentList[[Helper]:[Helper]],DivTournamentList[[P_AWD_RG]:[P_AWD_RG]])</f>
        <v>#N/A</v>
      </c>
      <c r="U9" s="1" t="e" cm="1">
        <f t="array" ref="U9">_xlfn.XLOOKUP(Summary[[#Headers],[Test]]&amp;"D1",DivTournamentList[[Helper]:[Helper]],DivTournamentList[[P_AWD_RG]:[P_AWD_RG]])</f>
        <v>#N/A</v>
      </c>
    </row>
    <row r="10" spans="1:21" x14ac:dyDescent="0.25">
      <c r="A10" s="1" t="s">
        <v>31</v>
      </c>
      <c r="B10" s="1" t="e" cm="1">
        <f t="array" ref="B10">_xlfn.XLOOKUP(Summary[[#Headers],[Newport_News]]&amp;"D2",DivTournamentList[[Helper]:[Helper]],DivTournamentList[[P_AWD_RG]:[P_AWD_RG]])</f>
        <v>#N/A</v>
      </c>
      <c r="C10" s="1" t="e" cm="1">
        <f t="array" ref="C10">_xlfn.XLOOKUP(Summary[[#Headers],[Henrico_Godwin]]&amp;"D2",DivTournamentList[[Helper]:[Helper]],DivTournamentList[[P_AWD_RG]:[P_AWD_RG]])</f>
        <v>#N/A</v>
      </c>
      <c r="D10" s="1" t="e" cm="1">
        <f t="array" ref="D10">_xlfn.XLOOKUP(Summary[[#Headers],[Glen_Allen]]&amp;"D2",DivTournamentList[[Helper]:[Helper]],DivTournamentList[[P_AWD_RG]:[P_AWD_RG]])</f>
        <v>#N/A</v>
      </c>
      <c r="E10" s="1" t="e" cm="1">
        <f t="array" ref="E10">_xlfn.XLOOKUP(Summary[[#Headers],[Martinsville]]&amp;"D2",DivTournamentList[[Helper]:[Helper]],DivTournamentList[[P_AWD_RG]:[P_AWD_RG]])</f>
        <v>#N/A</v>
      </c>
      <c r="F10" s="1" t="e" cm="1">
        <f t="array" ref="F10">_xlfn.XLOOKUP(Summary[[#Headers],[Norfolk]]&amp;"D2",DivTournamentList[[Helper]:[Helper]],DivTournamentList[[P_AWD_RG]:[P_AWD_RG]])</f>
        <v>#N/A</v>
      </c>
      <c r="G10" s="1" t="e" cm="1">
        <f t="array" ref="G10">_xlfn.XLOOKUP(Summary[[#Headers],[Blacksburg]]&amp;"D2",DivTournamentList[[Helper]:[Helper]],DivTournamentList[[P_AWD_RG]:[P_AWD_RG]])</f>
        <v>#N/A</v>
      </c>
      <c r="H10" s="1" t="e" cm="1">
        <f t="array" ref="H10">_xlfn.XLOOKUP(Summary[[#Headers],[Abingdon]]&amp;"D2",DivTournamentList[[Helper]:[Helper]],DivTournamentList[[P_AWD_RG]:[P_AWD_RG]])</f>
        <v>#N/A</v>
      </c>
      <c r="I10" s="1" t="e" cm="1">
        <f t="array" ref="I10">_xlfn.XLOOKUP(Summary[[#Headers],[Charlottesville]]&amp;"D2",DivTournamentList[[Helper]:[Helper]],DivTournamentList[[P_AWD_RG]:[P_AWD_RG]])</f>
        <v>#N/A</v>
      </c>
      <c r="J10" s="1" t="e" cm="1">
        <f t="array" ref="J10">_xlfn.XLOOKUP(Summary[[#Headers],[Manassas_1]]&amp;"D2",DivTournamentList[[Helper]:[Helper]],DivTournamentList[[P_AWD_RG]:[P_AWD_RG]])</f>
        <v>#N/A</v>
      </c>
      <c r="K10" s="1" t="e" cm="1">
        <f t="array" ref="K10">_xlfn.XLOOKUP(Summary[[#Headers],[Chantilly]]&amp;"D2",DivTournamentList[[Helper]:[Helper]],DivTournamentList[[P_AWD_RG]:[P_AWD_RG]])</f>
        <v>#N/A</v>
      </c>
      <c r="L10" s="1" t="e" cm="1">
        <f t="array" ref="L10">_xlfn.XLOOKUP(Summary[[#Headers],[Manassas_2]]&amp;"D2",DivTournamentList[[Helper]:[Helper]],DivTournamentList[[P_AWD_RG]:[P_AWD_RG]])</f>
        <v>#N/A</v>
      </c>
      <c r="M10" s="1" t="e" cm="1">
        <f t="array" ref="M10">_xlfn.XLOOKUP(Summary[[#Headers],[Richmond]]&amp;"D2",DivTournamentList[[Helper]:[Helper]],DivTournamentList[[P_AWD_RG]:[P_AWD_RG]])</f>
        <v>#N/A</v>
      </c>
      <c r="N10" s="1" t="e" cm="1">
        <f t="array" ref="N10">_xlfn.XLOOKUP(Summary[[#Headers],[DC-McKinley]]&amp;"D2",DivTournamentList[[Helper]:[Helper]],DivTournamentList[[P_AWD_RG]:[P_AWD_RG]])</f>
        <v>#N/A</v>
      </c>
      <c r="O10" s="1" t="e" cm="1">
        <f t="array" ref="O10">_xlfn.XLOOKUP(Summary[[#Headers],[DC-Friendship]]&amp;"D2",DivTournamentList[[Helper]:[Helper]],DivTournamentList[[P_AWD_RG]:[P_AWD_RG]])</f>
        <v>#N/A</v>
      </c>
      <c r="P10" s="1" t="e" cm="1">
        <f t="array" ref="P10">_xlfn.XLOOKUP(Summary[[#Headers],[Ashburn]]&amp;"D2",DivTournamentList[[Helper]:[Helper]],DivTournamentList[[P_AWD_RG]:[P_AWD_RG]])</f>
        <v>#N/A</v>
      </c>
      <c r="Q10" s="1" t="e" cm="1">
        <f t="array" ref="Q10">_xlfn.XLOOKUP(Summary[[#Headers],[Alexandria]]&amp;"D2",DivTournamentList[[Helper]:[Helper]],DivTournamentList[[P_AWD_RG]:[P_AWD_RG]])</f>
        <v>#N/A</v>
      </c>
      <c r="R10" s="1" t="e" cm="1">
        <f t="array" ref="R10">_xlfn.XLOOKUP(Summary[[#Headers],[Henrico_Freeman]]&amp;"D2",DivTournamentList[[Helper]:[Helper]],DivTournamentList[[P_AWD_RG]:[P_AWD_RG]])</f>
        <v>#N/A</v>
      </c>
      <c r="S10" s="1" t="e" cm="1">
        <f t="array" ref="S10">_xlfn.XLOOKUP(Summary[[#Headers],[Hayfield_1]]&amp;"D2",DivTournamentList[[Helper]:[Helper]],DivTournamentList[[P_AWD_RG]:[P_AWD_RG]])</f>
        <v>#N/A</v>
      </c>
      <c r="T10" s="1" t="e" cm="1">
        <f t="array" ref="T10">_xlfn.XLOOKUP(Summary[[#Headers],[Hayfield_2]]&amp;"D2",DivTournamentList[[Helper]:[Helper]],DivTournamentList[[P_AWD_RG]:[P_AWD_RG]])</f>
        <v>#N/A</v>
      </c>
      <c r="U10" s="1" t="e" cm="1">
        <f t="array" ref="U10">_xlfn.XLOOKUP(Summary[[#Headers],[Test]]&amp;"D2",DivTournamentList[[Helper]:[Helper]],DivTournamentList[[P_AWD_RG]:[P_AWD_RG]])</f>
        <v>#N/A</v>
      </c>
    </row>
    <row r="11" spans="1:21" x14ac:dyDescent="0.25">
      <c r="A11" s="1" t="s">
        <v>33</v>
      </c>
      <c r="B11" s="1" t="e">
        <f>B7+B9</f>
        <v>#N/A</v>
      </c>
      <c r="C11" s="1" t="e">
        <f t="shared" ref="C11:Q11" si="4">C7+C9</f>
        <v>#N/A</v>
      </c>
      <c r="D11" s="1" t="e">
        <f t="shared" si="4"/>
        <v>#N/A</v>
      </c>
      <c r="E11" s="1" t="e">
        <f t="shared" si="4"/>
        <v>#N/A</v>
      </c>
      <c r="F11" s="1" t="e">
        <f t="shared" si="4"/>
        <v>#N/A</v>
      </c>
      <c r="G11" s="1" t="e">
        <f t="shared" si="4"/>
        <v>#N/A</v>
      </c>
      <c r="H11" s="1" t="e">
        <f t="shared" si="4"/>
        <v>#N/A</v>
      </c>
      <c r="I11" s="1" t="e">
        <f t="shared" si="4"/>
        <v>#N/A</v>
      </c>
      <c r="J11" s="1" t="e">
        <f t="shared" si="4"/>
        <v>#N/A</v>
      </c>
      <c r="K11" s="1" t="e">
        <f t="shared" si="4"/>
        <v>#N/A</v>
      </c>
      <c r="L11" s="1" t="e">
        <f t="shared" si="4"/>
        <v>#N/A</v>
      </c>
      <c r="M11" s="1" t="e">
        <f t="shared" si="4"/>
        <v>#N/A</v>
      </c>
      <c r="N11" s="1" t="e">
        <f t="shared" si="4"/>
        <v>#N/A</v>
      </c>
      <c r="O11" s="1" t="e">
        <f t="shared" si="4"/>
        <v>#N/A</v>
      </c>
      <c r="P11" s="1" t="e">
        <f t="shared" si="4"/>
        <v>#N/A</v>
      </c>
      <c r="Q11" s="1" t="e">
        <f t="shared" si="4"/>
        <v>#N/A</v>
      </c>
      <c r="R11" s="1" t="e">
        <f t="shared" ref="R11:S11" si="5">R7+R9</f>
        <v>#N/A</v>
      </c>
      <c r="S11" s="1" t="e">
        <f t="shared" si="5"/>
        <v>#N/A</v>
      </c>
      <c r="T11" s="1" t="e">
        <f t="shared" ref="T11" si="6">T7+T9</f>
        <v>#N/A</v>
      </c>
      <c r="U11" s="1" t="e">
        <f t="shared" ref="U11" si="7">U7+U9</f>
        <v>#N/A</v>
      </c>
    </row>
    <row r="12" spans="1:21" x14ac:dyDescent="0.25">
      <c r="A12" s="1" t="s">
        <v>34</v>
      </c>
      <c r="B12" s="1" t="e">
        <f>B8+B10</f>
        <v>#N/A</v>
      </c>
      <c r="C12" s="1" t="e">
        <f t="shared" ref="C12:Q12" si="8">C8+C10</f>
        <v>#N/A</v>
      </c>
      <c r="D12" s="1" t="e">
        <f t="shared" si="8"/>
        <v>#N/A</v>
      </c>
      <c r="E12" s="1" t="e">
        <f t="shared" si="8"/>
        <v>#N/A</v>
      </c>
      <c r="F12" s="1" t="e">
        <f t="shared" si="8"/>
        <v>#N/A</v>
      </c>
      <c r="G12" s="1" t="e">
        <f t="shared" si="8"/>
        <v>#N/A</v>
      </c>
      <c r="H12" s="1" t="e">
        <f t="shared" si="8"/>
        <v>#N/A</v>
      </c>
      <c r="I12" s="1" t="e">
        <f t="shared" si="8"/>
        <v>#N/A</v>
      </c>
      <c r="J12" s="1" t="e">
        <f t="shared" si="8"/>
        <v>#N/A</v>
      </c>
      <c r="K12" s="1" t="e">
        <f t="shared" si="8"/>
        <v>#N/A</v>
      </c>
      <c r="L12" s="1" t="e">
        <f t="shared" si="8"/>
        <v>#N/A</v>
      </c>
      <c r="M12" s="1" t="e">
        <f t="shared" si="8"/>
        <v>#N/A</v>
      </c>
      <c r="N12" s="1" t="e">
        <f t="shared" si="8"/>
        <v>#N/A</v>
      </c>
      <c r="O12" s="1" t="e">
        <f t="shared" si="8"/>
        <v>#N/A</v>
      </c>
      <c r="P12" s="1" t="e">
        <f t="shared" si="8"/>
        <v>#N/A</v>
      </c>
      <c r="Q12" s="1" t="e">
        <f t="shared" si="8"/>
        <v>#N/A</v>
      </c>
      <c r="R12" s="1" t="e">
        <f t="shared" ref="R12:S12" si="9">R8+R10</f>
        <v>#N/A</v>
      </c>
      <c r="S12" s="1" t="e">
        <f t="shared" si="9"/>
        <v>#N/A</v>
      </c>
      <c r="T12" s="1" t="e">
        <f t="shared" ref="T12" si="10">T8+T10</f>
        <v>#N/A</v>
      </c>
      <c r="U12" s="1" t="e">
        <f t="shared" ref="U12" si="11">U8+U10</f>
        <v>#N/A</v>
      </c>
    </row>
    <row r="13" spans="1:21" x14ac:dyDescent="0.25">
      <c r="A13" s="1" t="s">
        <v>42</v>
      </c>
      <c r="B13" s="1" t="e">
        <f>B5+B6+B11+B12</f>
        <v>#N/A</v>
      </c>
      <c r="C13" s="1" t="e">
        <f t="shared" ref="C13:Q13" si="12">C5+C6+C11+C12</f>
        <v>#N/A</v>
      </c>
      <c r="D13" s="1" t="e">
        <f t="shared" si="12"/>
        <v>#N/A</v>
      </c>
      <c r="E13" s="1" t="e">
        <f t="shared" si="12"/>
        <v>#N/A</v>
      </c>
      <c r="F13" s="1" t="e">
        <f t="shared" si="12"/>
        <v>#N/A</v>
      </c>
      <c r="G13" s="1" t="e">
        <f t="shared" si="12"/>
        <v>#N/A</v>
      </c>
      <c r="H13" s="1" t="e">
        <f t="shared" si="12"/>
        <v>#N/A</v>
      </c>
      <c r="I13" s="1" t="e">
        <f t="shared" si="12"/>
        <v>#N/A</v>
      </c>
      <c r="J13" s="1" t="e">
        <f t="shared" si="12"/>
        <v>#N/A</v>
      </c>
      <c r="K13" s="1" t="e">
        <f t="shared" si="12"/>
        <v>#N/A</v>
      </c>
      <c r="L13" s="1" t="e">
        <f t="shared" si="12"/>
        <v>#N/A</v>
      </c>
      <c r="M13" s="1" t="e">
        <f t="shared" si="12"/>
        <v>#N/A</v>
      </c>
      <c r="N13" s="1" t="e">
        <f t="shared" si="12"/>
        <v>#N/A</v>
      </c>
      <c r="O13" s="1" t="e">
        <f t="shared" si="12"/>
        <v>#N/A</v>
      </c>
      <c r="P13" s="1" t="e">
        <f t="shared" si="12"/>
        <v>#N/A</v>
      </c>
      <c r="Q13" s="1" t="e">
        <f t="shared" si="12"/>
        <v>#N/A</v>
      </c>
      <c r="R13" s="1" t="e">
        <f t="shared" ref="R13:S13" si="13">R5+R6+R11+R12</f>
        <v>#N/A</v>
      </c>
      <c r="S13" s="1" t="e">
        <f t="shared" si="13"/>
        <v>#N/A</v>
      </c>
      <c r="T13" s="1" t="e">
        <f t="shared" ref="T13" si="14">T5+T6+T11+T12</f>
        <v>#N/A</v>
      </c>
      <c r="U13" s="1" t="e">
        <f t="shared" ref="U13" si="15">U5+U6+U11+U12</f>
        <v>#N/A</v>
      </c>
    </row>
    <row r="14" spans="1:21" x14ac:dyDescent="0.25">
      <c r="A14" s="1" t="s">
        <v>32</v>
      </c>
      <c r="B14" s="2" t="e">
        <f>(B5+B7+B8)/B2</f>
        <v>#N/A</v>
      </c>
      <c r="C14" s="2" t="e">
        <f t="shared" ref="C14:Q14" si="16">(C5+C7+C8)/C2</f>
        <v>#N/A</v>
      </c>
      <c r="D14" s="2" t="e">
        <f t="shared" si="16"/>
        <v>#N/A</v>
      </c>
      <c r="E14" s="2" t="e">
        <f t="shared" si="16"/>
        <v>#N/A</v>
      </c>
      <c r="F14" s="2" t="e">
        <f t="shared" si="16"/>
        <v>#N/A</v>
      </c>
      <c r="G14" s="2" t="e">
        <f t="shared" si="16"/>
        <v>#N/A</v>
      </c>
      <c r="H14" s="2" t="e">
        <f t="shared" si="16"/>
        <v>#N/A</v>
      </c>
      <c r="I14" s="2" t="e">
        <f t="shared" si="16"/>
        <v>#N/A</v>
      </c>
      <c r="J14" s="2" t="e">
        <f t="shared" si="16"/>
        <v>#N/A</v>
      </c>
      <c r="K14" s="2" t="e">
        <f t="shared" si="16"/>
        <v>#N/A</v>
      </c>
      <c r="L14" s="2" t="e">
        <f t="shared" si="16"/>
        <v>#N/A</v>
      </c>
      <c r="M14" s="2" t="e">
        <f t="shared" si="16"/>
        <v>#N/A</v>
      </c>
      <c r="N14" s="2" t="e">
        <f t="shared" si="16"/>
        <v>#N/A</v>
      </c>
      <c r="O14" s="2" t="e">
        <f t="shared" si="16"/>
        <v>#N/A</v>
      </c>
      <c r="P14" s="2" t="e">
        <f t="shared" si="16"/>
        <v>#N/A</v>
      </c>
      <c r="Q14" s="2" t="e">
        <f t="shared" si="16"/>
        <v>#N/A</v>
      </c>
      <c r="R14" s="2" t="e">
        <f t="shared" ref="R14:S14" si="17">(R5+R7+R8)/R2</f>
        <v>#N/A</v>
      </c>
      <c r="S14" s="2" t="e">
        <f t="shared" si="17"/>
        <v>#N/A</v>
      </c>
      <c r="T14" s="2" t="e">
        <f t="shared" ref="T14" si="18">(T5+T7+T8)/T2</f>
        <v>#N/A</v>
      </c>
      <c r="U14" s="2" t="e">
        <f t="shared" ref="U14" si="19">(U5+U7+U8)/U2</f>
        <v>#N/A</v>
      </c>
    </row>
    <row r="15" spans="1:21" x14ac:dyDescent="0.25">
      <c r="A15" s="1" t="s">
        <v>40</v>
      </c>
      <c r="B15" s="2" t="e">
        <f>(B7)/B3</f>
        <v>#N/A</v>
      </c>
      <c r="C15" s="2" t="e">
        <f t="shared" ref="C15:Q15" si="20">(C7)/C3</f>
        <v>#N/A</v>
      </c>
      <c r="D15" s="2" t="e">
        <f t="shared" si="20"/>
        <v>#N/A</v>
      </c>
      <c r="E15" s="2" t="e">
        <f t="shared" si="20"/>
        <v>#N/A</v>
      </c>
      <c r="F15" s="2" t="e">
        <f t="shared" si="20"/>
        <v>#N/A</v>
      </c>
      <c r="G15" s="2" t="e">
        <f t="shared" si="20"/>
        <v>#N/A</v>
      </c>
      <c r="H15" s="2" t="e">
        <f t="shared" si="20"/>
        <v>#N/A</v>
      </c>
      <c r="I15" s="2" t="e">
        <f t="shared" si="20"/>
        <v>#N/A</v>
      </c>
      <c r="J15" s="2" t="e">
        <f t="shared" si="20"/>
        <v>#N/A</v>
      </c>
      <c r="K15" s="2" t="e">
        <f t="shared" si="20"/>
        <v>#N/A</v>
      </c>
      <c r="L15" s="2" t="e">
        <f t="shared" si="20"/>
        <v>#N/A</v>
      </c>
      <c r="M15" s="2" t="e">
        <f t="shared" si="20"/>
        <v>#N/A</v>
      </c>
      <c r="N15" s="2" t="e">
        <f t="shared" si="20"/>
        <v>#N/A</v>
      </c>
      <c r="O15" s="2" t="e">
        <f t="shared" si="20"/>
        <v>#N/A</v>
      </c>
      <c r="P15" s="2" t="e">
        <f t="shared" si="20"/>
        <v>#N/A</v>
      </c>
      <c r="Q15" s="2" t="e">
        <f t="shared" si="20"/>
        <v>#N/A</v>
      </c>
      <c r="R15" s="2" t="e">
        <f t="shared" ref="R15:S15" si="21">(R7)/R3</f>
        <v>#N/A</v>
      </c>
      <c r="S15" s="2" t="e">
        <f t="shared" si="21"/>
        <v>#N/A</v>
      </c>
      <c r="T15" s="2" t="e">
        <f t="shared" ref="T15" si="22">(T7)/T3</f>
        <v>#N/A</v>
      </c>
      <c r="U15" s="2" t="e">
        <f t="shared" ref="U15" si="23">(U7)/U3</f>
        <v>#N/A</v>
      </c>
    </row>
    <row r="16" spans="1:21" x14ac:dyDescent="0.25">
      <c r="A16" s="1" t="s">
        <v>41</v>
      </c>
      <c r="B16" s="2" t="e">
        <f>(B8+B5)/B4</f>
        <v>#N/A</v>
      </c>
      <c r="C16" s="2" t="e">
        <f t="shared" ref="C16:Q16" si="24">(C8+C5)/C4</f>
        <v>#N/A</v>
      </c>
      <c r="D16" s="2" t="e">
        <f t="shared" si="24"/>
        <v>#N/A</v>
      </c>
      <c r="E16" s="2" t="e">
        <f t="shared" si="24"/>
        <v>#N/A</v>
      </c>
      <c r="F16" s="2" t="e">
        <f t="shared" si="24"/>
        <v>#N/A</v>
      </c>
      <c r="G16" s="2" t="e">
        <f t="shared" si="24"/>
        <v>#N/A</v>
      </c>
      <c r="H16" s="2" t="e">
        <f t="shared" si="24"/>
        <v>#N/A</v>
      </c>
      <c r="I16" s="2" t="e">
        <f t="shared" si="24"/>
        <v>#N/A</v>
      </c>
      <c r="J16" s="2" t="e">
        <f t="shared" si="24"/>
        <v>#N/A</v>
      </c>
      <c r="K16" s="2" t="e">
        <f t="shared" si="24"/>
        <v>#N/A</v>
      </c>
      <c r="L16" s="2" t="e">
        <f t="shared" si="24"/>
        <v>#N/A</v>
      </c>
      <c r="M16" s="2" t="e">
        <f t="shared" si="24"/>
        <v>#N/A</v>
      </c>
      <c r="N16" s="2" t="e">
        <f t="shared" si="24"/>
        <v>#N/A</v>
      </c>
      <c r="O16" s="2" t="e">
        <f t="shared" si="24"/>
        <v>#N/A</v>
      </c>
      <c r="P16" s="2" t="e">
        <f t="shared" si="24"/>
        <v>#N/A</v>
      </c>
      <c r="Q16" s="2" t="e">
        <f t="shared" si="24"/>
        <v>#N/A</v>
      </c>
      <c r="R16" s="2" t="e">
        <f t="shared" ref="R16:S16" si="25">(R8+R5)/R4</f>
        <v>#N/A</v>
      </c>
      <c r="S16" s="2" t="e">
        <f t="shared" si="25"/>
        <v>#N/A</v>
      </c>
      <c r="T16" s="2" t="e">
        <f t="shared" ref="T16" si="26">(T8+T5)/T4</f>
        <v>#N/A</v>
      </c>
      <c r="U16" s="2" t="e">
        <f t="shared" ref="U16" si="27">(U8+U5)/U4</f>
        <v>#N/A</v>
      </c>
    </row>
    <row r="17" spans="1:21" x14ac:dyDescent="0.25">
      <c r="A17" s="1" t="s">
        <v>0</v>
      </c>
      <c r="B17" s="1">
        <f>SUMIFS(Assignments[Mem],Assignments[Short Name],B1)</f>
        <v>0</v>
      </c>
      <c r="C17" s="1">
        <f>SUMIFS(Assignments[Mem],Assignments[Short Name],C1)</f>
        <v>0</v>
      </c>
      <c r="D17" s="1">
        <f>SUMIFS(Assignments[Mem],Assignments[Short Name],D1)</f>
        <v>0</v>
      </c>
      <c r="E17" s="1">
        <f>SUMIFS(Assignments[Mem],Assignments[Short Name],E1)</f>
        <v>0</v>
      </c>
      <c r="F17" s="1">
        <f>SUMIFS(Assignments[Mem],Assignments[Short Name],F1)</f>
        <v>0</v>
      </c>
      <c r="G17" s="1">
        <f>SUMIFS(Assignments[Mem],Assignments[Short Name],G1)</f>
        <v>0</v>
      </c>
      <c r="H17" s="1">
        <f>SUMIFS(Assignments[Mem],Assignments[Short Name],H1)</f>
        <v>0</v>
      </c>
      <c r="I17" s="1">
        <f>SUMIFS(Assignments[Mem],Assignments[Short Name],I1)</f>
        <v>0</v>
      </c>
      <c r="J17" s="1">
        <f>SUMIFS(Assignments[Mem],Assignments[Short Name],J1)</f>
        <v>0</v>
      </c>
      <c r="K17" s="1">
        <f>SUMIFS(Assignments[Mem],Assignments[Short Name],K1)</f>
        <v>0</v>
      </c>
      <c r="L17" s="1">
        <f>SUMIFS(Assignments[Mem],Assignments[Short Name],L1)</f>
        <v>0</v>
      </c>
      <c r="M17" s="1">
        <f>SUMIFS(Assignments[Mem],Assignments[Short Name],M1)</f>
        <v>0</v>
      </c>
      <c r="N17" s="1">
        <f>SUMIFS(Assignments[Mem],Assignments[Short Name],N1)</f>
        <v>0</v>
      </c>
      <c r="O17" s="1">
        <f>SUMIFS(Assignments[Mem],Assignments[Short Name],O1)</f>
        <v>0</v>
      </c>
      <c r="P17" s="1">
        <f>SUMIFS(Assignments[Mem],Assignments[Short Name],P1)</f>
        <v>0</v>
      </c>
      <c r="Q17" s="1">
        <f>SUMIFS(Assignments[Mem],Assignments[Short Name],Q1)</f>
        <v>0</v>
      </c>
      <c r="R17" s="1">
        <f>SUMIFS(Assignments[Mem],Assignments[Short Name],R1)</f>
        <v>0</v>
      </c>
      <c r="S17" s="1">
        <f>SUMIFS(Assignments[Mem],Assignments[Short Name],S1)</f>
        <v>0</v>
      </c>
      <c r="T17" s="1">
        <f>SUMIFS(Assignments[Mem],Assignments[Short Name],T1)</f>
        <v>0</v>
      </c>
      <c r="U17" s="1">
        <f>SUMIFS(Assignments[Mem],Assignments[Short Name],U1)</f>
        <v>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1AF0E-5A5F-4597-97F4-A7EE3962C247}">
  <dimension ref="A1:N20"/>
  <sheetViews>
    <sheetView workbookViewId="0">
      <selection activeCell="A2" sqref="A2"/>
    </sheetView>
  </sheetViews>
  <sheetFormatPr defaultRowHeight="15" x14ac:dyDescent="0.25"/>
  <cols>
    <col min="1" max="1" width="14.42578125" customWidth="1"/>
    <col min="2" max="2" width="52.85546875" customWidth="1"/>
    <col min="3" max="3" width="11.42578125" customWidth="1"/>
    <col min="4" max="4" width="61.7109375" customWidth="1"/>
    <col min="5" max="5" width="17.42578125" bestFit="1" customWidth="1"/>
    <col min="6" max="6" width="12.28515625" bestFit="1" customWidth="1"/>
    <col min="7" max="8" width="13" bestFit="1" customWidth="1"/>
    <col min="9" max="9" width="16.7109375" bestFit="1" customWidth="1"/>
    <col min="10" max="10" width="13.5703125" bestFit="1" customWidth="1"/>
    <col min="11" max="11" width="12.7109375" bestFit="1" customWidth="1"/>
    <col min="12" max="12" width="15.7109375" bestFit="1" customWidth="1"/>
    <col min="13" max="13" width="12.5703125" bestFit="1" customWidth="1"/>
    <col min="14" max="14" width="7.140625" bestFit="1" customWidth="1"/>
  </cols>
  <sheetData>
    <row r="1" spans="1:14" x14ac:dyDescent="0.25">
      <c r="A1" s="1" t="s">
        <v>11</v>
      </c>
      <c r="B1" s="1" t="s">
        <v>12</v>
      </c>
      <c r="C1" s="1" t="s">
        <v>16</v>
      </c>
      <c r="D1" s="1" t="s">
        <v>162</v>
      </c>
      <c r="E1" s="6" t="s">
        <v>104</v>
      </c>
      <c r="F1" s="6" t="s">
        <v>105</v>
      </c>
      <c r="G1" s="6" t="s">
        <v>106</v>
      </c>
      <c r="H1" s="6" t="s">
        <v>107</v>
      </c>
      <c r="I1" s="6" t="s">
        <v>108</v>
      </c>
      <c r="J1" s="6" t="s">
        <v>103</v>
      </c>
      <c r="K1" s="6" t="s">
        <v>109</v>
      </c>
      <c r="L1" s="6" t="s">
        <v>110</v>
      </c>
      <c r="M1" s="6" t="s">
        <v>111</v>
      </c>
      <c r="N1" s="6" t="s">
        <v>23</v>
      </c>
    </row>
    <row r="2" spans="1:14" x14ac:dyDescent="0.25">
      <c r="A2" s="1" t="s">
        <v>179</v>
      </c>
      <c r="B2" t="s">
        <v>1175</v>
      </c>
      <c r="C2" s="4">
        <v>46362</v>
      </c>
      <c r="D2" s="1" t="s">
        <v>1176</v>
      </c>
      <c r="E2" s="1">
        <v>3</v>
      </c>
      <c r="F2" s="1">
        <v>2</v>
      </c>
      <c r="G2" s="1">
        <v>1</v>
      </c>
      <c r="H2" s="1">
        <v>3</v>
      </c>
      <c r="I2" s="1">
        <v>3</v>
      </c>
      <c r="J2" s="1">
        <v>3</v>
      </c>
      <c r="K2" s="1">
        <v>0</v>
      </c>
      <c r="L2" s="1">
        <v>0</v>
      </c>
      <c r="M2" s="1">
        <v>0</v>
      </c>
      <c r="N2" s="1">
        <v>3</v>
      </c>
    </row>
    <row r="3" spans="1:14" x14ac:dyDescent="0.25">
      <c r="A3" s="1" t="s">
        <v>180</v>
      </c>
      <c r="B3" t="s">
        <v>1177</v>
      </c>
      <c r="C3" s="4">
        <v>46362</v>
      </c>
      <c r="D3" s="1" t="s">
        <v>1178</v>
      </c>
      <c r="E3" s="1">
        <v>3</v>
      </c>
      <c r="F3" s="1">
        <v>3</v>
      </c>
      <c r="G3" s="1">
        <v>2</v>
      </c>
      <c r="H3" s="1">
        <v>3</v>
      </c>
      <c r="I3" s="1">
        <v>2</v>
      </c>
      <c r="J3" s="1">
        <v>3</v>
      </c>
      <c r="K3" s="1">
        <v>0</v>
      </c>
      <c r="L3" s="1">
        <v>0</v>
      </c>
      <c r="M3" s="1">
        <v>0</v>
      </c>
      <c r="N3" s="1">
        <v>3</v>
      </c>
    </row>
    <row r="4" spans="1:14" x14ac:dyDescent="0.25">
      <c r="A4" s="1" t="s">
        <v>181</v>
      </c>
      <c r="B4" t="s">
        <v>1179</v>
      </c>
      <c r="C4" s="4">
        <v>46348</v>
      </c>
      <c r="D4" s="1" t="s">
        <v>1180</v>
      </c>
      <c r="E4" s="1">
        <v>2</v>
      </c>
      <c r="F4" s="1">
        <v>1</v>
      </c>
      <c r="G4" s="1">
        <v>3</v>
      </c>
      <c r="H4" s="1">
        <v>3</v>
      </c>
      <c r="I4" s="1">
        <v>3</v>
      </c>
      <c r="J4" s="1">
        <v>3</v>
      </c>
      <c r="K4" s="1">
        <v>0</v>
      </c>
      <c r="L4" s="1">
        <v>0</v>
      </c>
      <c r="M4" s="1">
        <v>0</v>
      </c>
      <c r="N4" s="1">
        <v>3</v>
      </c>
    </row>
    <row r="5" spans="1:14" x14ac:dyDescent="0.25">
      <c r="A5" s="1" t="s">
        <v>182</v>
      </c>
      <c r="B5" t="s">
        <v>1181</v>
      </c>
      <c r="C5" s="4">
        <v>46362</v>
      </c>
      <c r="D5" s="1" t="s">
        <v>1182</v>
      </c>
      <c r="E5" s="1">
        <v>3</v>
      </c>
      <c r="F5" s="1">
        <v>1</v>
      </c>
      <c r="G5" s="1">
        <v>3</v>
      </c>
      <c r="H5" s="1">
        <v>3</v>
      </c>
      <c r="I5" s="1">
        <v>1</v>
      </c>
      <c r="J5" s="1">
        <v>3</v>
      </c>
      <c r="K5" s="1">
        <v>0</v>
      </c>
      <c r="L5" s="1">
        <v>0</v>
      </c>
      <c r="M5" s="1">
        <v>0</v>
      </c>
      <c r="N5" s="1">
        <v>3</v>
      </c>
    </row>
    <row r="6" spans="1:14" x14ac:dyDescent="0.25">
      <c r="A6" s="1" t="s">
        <v>1171</v>
      </c>
      <c r="B6" t="s">
        <v>1183</v>
      </c>
      <c r="C6" s="4">
        <v>46341</v>
      </c>
      <c r="D6" s="1" t="s">
        <v>1184</v>
      </c>
      <c r="E6" s="1">
        <v>2</v>
      </c>
      <c r="F6" s="1">
        <v>3</v>
      </c>
      <c r="G6" s="1">
        <v>3</v>
      </c>
      <c r="H6" s="1">
        <v>1</v>
      </c>
      <c r="I6" s="1">
        <v>3</v>
      </c>
      <c r="J6" s="1">
        <v>3</v>
      </c>
      <c r="K6" s="1">
        <v>1</v>
      </c>
      <c r="L6" s="1">
        <v>0</v>
      </c>
      <c r="M6" s="1">
        <v>0</v>
      </c>
      <c r="N6" s="1">
        <v>2</v>
      </c>
    </row>
    <row r="7" spans="1:14" x14ac:dyDescent="0.25">
      <c r="A7" s="1" t="s">
        <v>183</v>
      </c>
      <c r="B7" t="s">
        <v>1185</v>
      </c>
      <c r="C7" s="4">
        <v>46370</v>
      </c>
      <c r="D7" s="1" t="s">
        <v>1186</v>
      </c>
      <c r="E7" s="1">
        <v>3</v>
      </c>
      <c r="F7" s="1">
        <v>3</v>
      </c>
      <c r="G7" s="1">
        <v>1</v>
      </c>
      <c r="H7" s="1">
        <v>2</v>
      </c>
      <c r="I7" s="1">
        <v>1</v>
      </c>
      <c r="J7" s="1">
        <v>3</v>
      </c>
      <c r="K7" s="1">
        <v>0</v>
      </c>
      <c r="L7" s="1">
        <v>0</v>
      </c>
      <c r="M7" s="1">
        <v>0</v>
      </c>
      <c r="N7" s="1">
        <v>3</v>
      </c>
    </row>
    <row r="8" spans="1:14" x14ac:dyDescent="0.25">
      <c r="A8" s="1" t="s">
        <v>184</v>
      </c>
      <c r="B8" t="s">
        <v>1187</v>
      </c>
      <c r="C8" s="4">
        <v>46341</v>
      </c>
      <c r="D8" s="1" t="s">
        <v>1188</v>
      </c>
      <c r="E8" s="1">
        <v>1</v>
      </c>
      <c r="F8" s="1">
        <v>3</v>
      </c>
      <c r="G8" s="1">
        <v>2</v>
      </c>
      <c r="H8" s="1">
        <v>3</v>
      </c>
      <c r="I8" s="1">
        <v>3</v>
      </c>
      <c r="J8" s="1">
        <v>3</v>
      </c>
      <c r="K8" s="1">
        <v>0</v>
      </c>
      <c r="L8" s="1">
        <v>0</v>
      </c>
      <c r="M8" s="1">
        <v>0</v>
      </c>
      <c r="N8" s="1">
        <v>3</v>
      </c>
    </row>
    <row r="9" spans="1:14" x14ac:dyDescent="0.25">
      <c r="A9" s="1" t="s">
        <v>185</v>
      </c>
      <c r="B9" t="s">
        <v>1189</v>
      </c>
      <c r="C9" s="4">
        <v>46362</v>
      </c>
      <c r="D9" s="1" t="s">
        <v>1190</v>
      </c>
      <c r="E9" s="1">
        <v>1</v>
      </c>
      <c r="F9" s="1">
        <v>3</v>
      </c>
      <c r="G9" s="1">
        <v>3</v>
      </c>
      <c r="H9" s="1">
        <v>3</v>
      </c>
      <c r="I9" s="1">
        <v>4</v>
      </c>
      <c r="J9" s="1">
        <v>3</v>
      </c>
      <c r="K9" s="1">
        <v>2</v>
      </c>
      <c r="L9" s="1">
        <v>0</v>
      </c>
      <c r="M9" s="1">
        <v>0</v>
      </c>
      <c r="N9" s="1">
        <v>3</v>
      </c>
    </row>
    <row r="10" spans="1:14" x14ac:dyDescent="0.25">
      <c r="A10" s="1" t="s">
        <v>186</v>
      </c>
      <c r="B10" t="s">
        <v>1191</v>
      </c>
      <c r="C10" s="4">
        <v>46341</v>
      </c>
      <c r="D10" s="1" t="s">
        <v>1192</v>
      </c>
      <c r="E10" s="1">
        <v>3</v>
      </c>
      <c r="F10" s="1">
        <v>1</v>
      </c>
      <c r="G10" s="1">
        <v>2</v>
      </c>
      <c r="H10" s="1">
        <v>3</v>
      </c>
      <c r="I10" s="1">
        <v>4</v>
      </c>
      <c r="J10" s="1">
        <v>2</v>
      </c>
      <c r="K10" s="1">
        <v>0</v>
      </c>
      <c r="L10" s="1">
        <v>0</v>
      </c>
      <c r="M10" s="1">
        <v>0</v>
      </c>
      <c r="N10" s="1">
        <v>3</v>
      </c>
    </row>
    <row r="11" spans="1:14" x14ac:dyDescent="0.25">
      <c r="A11" s="1" t="s">
        <v>187</v>
      </c>
      <c r="B11" t="s">
        <v>1193</v>
      </c>
      <c r="C11" s="4">
        <v>46348</v>
      </c>
      <c r="D11" s="1" t="s">
        <v>1194</v>
      </c>
      <c r="E11" s="1">
        <v>3</v>
      </c>
      <c r="F11" s="1">
        <v>2</v>
      </c>
      <c r="G11" s="1">
        <v>3</v>
      </c>
      <c r="H11" s="1">
        <v>1</v>
      </c>
      <c r="I11" s="1">
        <v>4</v>
      </c>
      <c r="J11" s="1">
        <v>2</v>
      </c>
      <c r="K11" s="1">
        <v>0</v>
      </c>
      <c r="L11" s="1">
        <v>0</v>
      </c>
      <c r="M11" s="1">
        <v>0</v>
      </c>
      <c r="N11" s="1">
        <v>3</v>
      </c>
    </row>
    <row r="12" spans="1:14" x14ac:dyDescent="0.25">
      <c r="A12" s="1" t="s">
        <v>188</v>
      </c>
      <c r="B12" t="s">
        <v>1195</v>
      </c>
      <c r="C12" s="4">
        <v>46342</v>
      </c>
      <c r="D12" s="1" t="s">
        <v>1196</v>
      </c>
      <c r="E12" s="1">
        <v>3</v>
      </c>
      <c r="F12" s="1">
        <v>3</v>
      </c>
      <c r="G12" s="1">
        <v>2</v>
      </c>
      <c r="H12" s="1">
        <v>2</v>
      </c>
      <c r="I12" s="1">
        <v>4</v>
      </c>
      <c r="J12" s="1">
        <v>3</v>
      </c>
      <c r="K12" s="1">
        <v>0</v>
      </c>
      <c r="L12" s="1">
        <v>0</v>
      </c>
      <c r="M12" s="1">
        <v>0</v>
      </c>
      <c r="N12" s="1">
        <v>2</v>
      </c>
    </row>
    <row r="13" spans="1:14" x14ac:dyDescent="0.25">
      <c r="A13" s="1" t="s">
        <v>189</v>
      </c>
      <c r="B13" t="s">
        <v>1197</v>
      </c>
      <c r="C13" s="4">
        <v>46342</v>
      </c>
      <c r="D13" s="1" t="s">
        <v>1198</v>
      </c>
      <c r="E13" s="1">
        <v>3</v>
      </c>
      <c r="F13" s="1">
        <v>3</v>
      </c>
      <c r="G13" s="1">
        <v>3</v>
      </c>
      <c r="H13" s="1">
        <v>2</v>
      </c>
      <c r="I13" s="1">
        <v>1</v>
      </c>
      <c r="J13" s="1">
        <v>3</v>
      </c>
      <c r="K13" s="1">
        <v>0</v>
      </c>
      <c r="L13" s="1">
        <v>0</v>
      </c>
      <c r="M13" s="1">
        <v>0</v>
      </c>
      <c r="N13" s="1">
        <v>2</v>
      </c>
    </row>
    <row r="14" spans="1:14" x14ac:dyDescent="0.25">
      <c r="A14" s="1" t="s">
        <v>190</v>
      </c>
      <c r="B14" t="s">
        <v>1199</v>
      </c>
      <c r="C14" s="4">
        <v>46348</v>
      </c>
      <c r="D14" s="1" t="s">
        <v>1200</v>
      </c>
      <c r="E14" s="1">
        <v>1</v>
      </c>
      <c r="F14" s="1">
        <v>3</v>
      </c>
      <c r="G14" s="1">
        <v>1</v>
      </c>
      <c r="H14" s="1">
        <v>3</v>
      </c>
      <c r="I14" s="1">
        <v>2</v>
      </c>
      <c r="J14" s="1">
        <v>3</v>
      </c>
      <c r="K14" s="1">
        <v>0</v>
      </c>
      <c r="L14" s="1">
        <v>0</v>
      </c>
      <c r="M14" s="1">
        <v>0</v>
      </c>
      <c r="N14" s="1">
        <v>3</v>
      </c>
    </row>
    <row r="15" spans="1:14" x14ac:dyDescent="0.25">
      <c r="A15" s="1" t="s">
        <v>191</v>
      </c>
      <c r="B15" t="s">
        <v>1201</v>
      </c>
      <c r="C15" s="4">
        <v>46369</v>
      </c>
      <c r="D15" s="1" t="s">
        <v>1202</v>
      </c>
      <c r="E15" s="1">
        <v>2</v>
      </c>
      <c r="F15" s="1">
        <v>1</v>
      </c>
      <c r="G15" s="1">
        <v>1</v>
      </c>
      <c r="H15" s="1">
        <v>2</v>
      </c>
      <c r="I15" s="1">
        <v>1</v>
      </c>
      <c r="J15" s="1">
        <v>3</v>
      </c>
      <c r="K15" s="1">
        <v>0</v>
      </c>
      <c r="L15" s="1">
        <v>0</v>
      </c>
      <c r="M15" s="1">
        <v>0</v>
      </c>
      <c r="N15" s="1">
        <v>2</v>
      </c>
    </row>
    <row r="16" spans="1:14" x14ac:dyDescent="0.25">
      <c r="A16" s="1" t="s">
        <v>192</v>
      </c>
      <c r="B16" t="s">
        <v>1203</v>
      </c>
      <c r="C16" s="4">
        <v>46369</v>
      </c>
      <c r="D16" s="5" t="s">
        <v>1204</v>
      </c>
      <c r="E16" s="1">
        <v>3</v>
      </c>
      <c r="F16" s="1">
        <v>2</v>
      </c>
      <c r="G16" s="1">
        <v>3</v>
      </c>
      <c r="H16" s="1">
        <v>3</v>
      </c>
      <c r="I16" s="5">
        <v>2</v>
      </c>
      <c r="J16" s="1">
        <v>2</v>
      </c>
      <c r="K16" s="1">
        <v>0</v>
      </c>
      <c r="L16" s="1">
        <v>0</v>
      </c>
      <c r="M16" s="1">
        <v>0</v>
      </c>
      <c r="N16" s="1">
        <v>3</v>
      </c>
    </row>
    <row r="17" spans="1:14" x14ac:dyDescent="0.25">
      <c r="A17" t="s">
        <v>193</v>
      </c>
      <c r="B17" t="s">
        <v>1205</v>
      </c>
      <c r="C17" s="4">
        <v>46370</v>
      </c>
      <c r="D17" s="5" t="s">
        <v>1206</v>
      </c>
      <c r="E17" s="1">
        <v>2</v>
      </c>
      <c r="F17" s="1">
        <v>3</v>
      </c>
      <c r="G17" s="1">
        <v>3</v>
      </c>
      <c r="H17" s="1">
        <v>2</v>
      </c>
      <c r="I17" s="5">
        <v>3</v>
      </c>
      <c r="J17" s="1">
        <v>1</v>
      </c>
      <c r="K17" s="1">
        <v>0</v>
      </c>
      <c r="L17" s="1">
        <v>0</v>
      </c>
      <c r="M17" s="1">
        <v>0</v>
      </c>
      <c r="N17" s="1">
        <v>3</v>
      </c>
    </row>
    <row r="18" spans="1:14" x14ac:dyDescent="0.25">
      <c r="A18" s="1" t="s">
        <v>194</v>
      </c>
      <c r="B18" t="s">
        <v>1207</v>
      </c>
      <c r="C18" s="4">
        <v>46369</v>
      </c>
      <c r="D18" s="1" t="s">
        <v>1208</v>
      </c>
      <c r="E18" s="1">
        <v>2</v>
      </c>
      <c r="F18" s="1">
        <v>2</v>
      </c>
      <c r="G18" s="1">
        <v>3</v>
      </c>
      <c r="H18" s="1">
        <v>3</v>
      </c>
      <c r="I18" s="1">
        <v>3</v>
      </c>
      <c r="J18" s="1">
        <v>3</v>
      </c>
      <c r="K18" s="1">
        <v>0</v>
      </c>
      <c r="L18" s="1">
        <v>0</v>
      </c>
      <c r="M18" s="1">
        <v>0</v>
      </c>
      <c r="N18" s="1">
        <v>3</v>
      </c>
    </row>
    <row r="19" spans="1:14" x14ac:dyDescent="0.25">
      <c r="A19" s="1" t="s">
        <v>195</v>
      </c>
      <c r="B19" t="s">
        <v>1209</v>
      </c>
      <c r="C19" s="4">
        <v>46349</v>
      </c>
      <c r="D19" s="1" t="s">
        <v>1210</v>
      </c>
      <c r="E19" s="1">
        <v>2</v>
      </c>
      <c r="F19" s="1">
        <v>3</v>
      </c>
      <c r="G19" s="1">
        <v>3</v>
      </c>
      <c r="H19" s="1">
        <v>1</v>
      </c>
      <c r="I19" s="1">
        <v>2</v>
      </c>
      <c r="J19" s="1">
        <v>3</v>
      </c>
      <c r="K19" s="1">
        <v>0</v>
      </c>
      <c r="L19" s="1">
        <v>0</v>
      </c>
      <c r="M19" s="1">
        <v>0</v>
      </c>
      <c r="N19" s="1">
        <v>3</v>
      </c>
    </row>
    <row r="20" spans="1:14" x14ac:dyDescent="0.25">
      <c r="A20" s="1" t="s">
        <v>196</v>
      </c>
      <c r="B20" t="s">
        <v>1211</v>
      </c>
      <c r="C20" s="4">
        <v>46342</v>
      </c>
      <c r="D20" s="1" t="s">
        <v>1212</v>
      </c>
      <c r="E20" s="1">
        <v>1</v>
      </c>
      <c r="F20" s="1">
        <v>2</v>
      </c>
      <c r="G20" s="1">
        <v>2</v>
      </c>
      <c r="H20" s="1">
        <v>2</v>
      </c>
      <c r="I20" s="1">
        <v>1</v>
      </c>
      <c r="J20" s="1">
        <v>3</v>
      </c>
      <c r="K20" s="1">
        <v>0</v>
      </c>
      <c r="L20" s="1">
        <v>0</v>
      </c>
      <c r="M20" s="1">
        <v>0</v>
      </c>
      <c r="N20" s="1">
        <v>3</v>
      </c>
    </row>
  </sheetData>
  <phoneticPr fontId="2" type="noConversion"/>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B0F1-8C69-412F-8013-AD404FAFA062}">
  <dimension ref="A1:M2"/>
  <sheetViews>
    <sheetView workbookViewId="0">
      <selection activeCell="A2" sqref="A2"/>
    </sheetView>
  </sheetViews>
  <sheetFormatPr defaultRowHeight="15" x14ac:dyDescent="0.25"/>
  <cols>
    <col min="1" max="1" width="23.7109375" customWidth="1"/>
    <col min="2" max="2" width="51.140625" bestFit="1" customWidth="1"/>
    <col min="3" max="3" width="10.42578125" bestFit="1" customWidth="1"/>
    <col min="4" max="4" width="6.28515625" bestFit="1" customWidth="1"/>
    <col min="5" max="5" width="23.7109375" customWidth="1"/>
    <col min="6" max="6" width="59.85546875" bestFit="1" customWidth="1"/>
    <col min="7" max="7" width="17" bestFit="1" customWidth="1"/>
    <col min="8" max="8" width="12.85546875" bestFit="1" customWidth="1"/>
    <col min="9" max="9" width="11.85546875" bestFit="1" customWidth="1"/>
    <col min="10" max="10" width="12.7109375" bestFit="1" customWidth="1"/>
    <col min="11" max="11" width="13.28515625" bestFit="1" customWidth="1"/>
    <col min="12" max="12" width="7" bestFit="1" customWidth="1"/>
    <col min="13" max="13" width="19" bestFit="1" customWidth="1"/>
  </cols>
  <sheetData>
    <row r="1" spans="1:13" x14ac:dyDescent="0.25">
      <c r="A1" t="s">
        <v>11</v>
      </c>
      <c r="B1" t="s">
        <v>12</v>
      </c>
      <c r="C1" t="s">
        <v>16</v>
      </c>
      <c r="D1" t="s">
        <v>20</v>
      </c>
      <c r="E1" t="s">
        <v>143</v>
      </c>
      <c r="F1" t="s">
        <v>162</v>
      </c>
      <c r="G1" t="s">
        <v>104</v>
      </c>
      <c r="H1" t="s">
        <v>106</v>
      </c>
      <c r="I1" t="s">
        <v>105</v>
      </c>
      <c r="J1" t="s">
        <v>107</v>
      </c>
      <c r="K1" t="s">
        <v>103</v>
      </c>
      <c r="L1" t="s">
        <v>23</v>
      </c>
      <c r="M1" t="s">
        <v>108</v>
      </c>
    </row>
    <row r="2" spans="1:13" x14ac:dyDescent="0.25">
      <c r="A2" s="1"/>
      <c r="C2" s="7"/>
    </row>
  </sheetData>
  <phoneticPr fontId="2" type="noConversion"/>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6FCFD-7913-48E7-8A1D-892F3A9B6B36}">
  <dimension ref="A1:H418"/>
  <sheetViews>
    <sheetView topLeftCell="A3" workbookViewId="0">
      <selection activeCell="F1" sqref="F1"/>
    </sheetView>
  </sheetViews>
  <sheetFormatPr defaultRowHeight="15" x14ac:dyDescent="0.25"/>
  <cols>
    <col min="1" max="1" width="18.85546875" bestFit="1" customWidth="1"/>
    <col min="2" max="2" width="9.28515625" bestFit="1" customWidth="1"/>
    <col min="3" max="3" width="46.7109375" bestFit="1" customWidth="1"/>
    <col min="4" max="4" width="45.7109375" bestFit="1" customWidth="1"/>
    <col min="5" max="5" width="50.42578125" bestFit="1" customWidth="1"/>
    <col min="6" max="6" width="5.85546875" bestFit="1" customWidth="1"/>
    <col min="7" max="7" width="7.140625" bestFit="1" customWidth="1"/>
  </cols>
  <sheetData>
    <row r="1" spans="1:8" x14ac:dyDescent="0.25">
      <c r="A1" t="s">
        <v>11</v>
      </c>
      <c r="B1" t="s">
        <v>178</v>
      </c>
      <c r="C1" t="s">
        <v>17</v>
      </c>
      <c r="D1" t="s">
        <v>18</v>
      </c>
      <c r="E1" t="s">
        <v>19</v>
      </c>
      <c r="F1" t="s">
        <v>20</v>
      </c>
      <c r="G1" t="s">
        <v>21</v>
      </c>
      <c r="H1" t="s">
        <v>22</v>
      </c>
    </row>
    <row r="2" spans="1:8" ht="15.75" x14ac:dyDescent="0.25">
      <c r="A2" s="1" t="s">
        <v>179</v>
      </c>
      <c r="B2">
        <v>21747</v>
      </c>
      <c r="C2" t="s">
        <v>197</v>
      </c>
      <c r="D2" t="s">
        <v>539</v>
      </c>
      <c r="E2" t="s">
        <v>834</v>
      </c>
      <c r="G2">
        <v>6</v>
      </c>
      <c r="H2" s="3"/>
    </row>
    <row r="3" spans="1:8" ht="15.75" x14ac:dyDescent="0.25">
      <c r="A3" s="1" t="s">
        <v>179</v>
      </c>
      <c r="B3">
        <v>23372</v>
      </c>
      <c r="C3" t="s">
        <v>198</v>
      </c>
      <c r="D3" t="s">
        <v>540</v>
      </c>
      <c r="E3" t="s">
        <v>835</v>
      </c>
      <c r="G3">
        <v>7</v>
      </c>
      <c r="H3" s="3"/>
    </row>
    <row r="4" spans="1:8" ht="15.75" x14ac:dyDescent="0.25">
      <c r="A4" s="1" t="s">
        <v>179</v>
      </c>
      <c r="B4">
        <v>23582</v>
      </c>
      <c r="C4" t="s">
        <v>199</v>
      </c>
      <c r="D4" t="s">
        <v>541</v>
      </c>
      <c r="E4" t="s">
        <v>836</v>
      </c>
      <c r="G4">
        <v>5</v>
      </c>
      <c r="H4" s="3"/>
    </row>
    <row r="5" spans="1:8" ht="15.75" x14ac:dyDescent="0.25">
      <c r="A5" s="1" t="s">
        <v>179</v>
      </c>
      <c r="B5">
        <v>29553</v>
      </c>
      <c r="C5" t="s">
        <v>200</v>
      </c>
      <c r="D5" t="s">
        <v>542</v>
      </c>
      <c r="E5" t="s">
        <v>837</v>
      </c>
      <c r="G5">
        <v>6</v>
      </c>
      <c r="H5" s="3"/>
    </row>
    <row r="6" spans="1:8" ht="15.75" x14ac:dyDescent="0.25">
      <c r="A6" s="1" t="s">
        <v>179</v>
      </c>
      <c r="B6">
        <v>31515</v>
      </c>
      <c r="C6" t="s">
        <v>201</v>
      </c>
      <c r="D6" t="s">
        <v>543</v>
      </c>
      <c r="E6" t="s">
        <v>838</v>
      </c>
      <c r="G6">
        <v>10</v>
      </c>
      <c r="H6" s="3"/>
    </row>
    <row r="7" spans="1:8" ht="15.75" x14ac:dyDescent="0.25">
      <c r="A7" s="1" t="s">
        <v>179</v>
      </c>
      <c r="B7">
        <v>32350</v>
      </c>
      <c r="C7" t="s">
        <v>202</v>
      </c>
      <c r="D7" t="s">
        <v>544</v>
      </c>
      <c r="E7" t="s">
        <v>839</v>
      </c>
      <c r="G7">
        <v>7</v>
      </c>
      <c r="H7" s="3"/>
    </row>
    <row r="8" spans="1:8" ht="15.75" x14ac:dyDescent="0.25">
      <c r="A8" s="1" t="s">
        <v>179</v>
      </c>
      <c r="B8">
        <v>39294</v>
      </c>
      <c r="C8" t="s">
        <v>203</v>
      </c>
      <c r="D8" t="s">
        <v>545</v>
      </c>
      <c r="E8" t="s">
        <v>840</v>
      </c>
      <c r="G8">
        <v>5</v>
      </c>
      <c r="H8" s="3"/>
    </row>
    <row r="9" spans="1:8" ht="15.75" x14ac:dyDescent="0.25">
      <c r="A9" s="1" t="s">
        <v>179</v>
      </c>
      <c r="B9">
        <v>51572</v>
      </c>
      <c r="C9" t="s">
        <v>204</v>
      </c>
      <c r="D9" t="s">
        <v>546</v>
      </c>
      <c r="E9" t="s">
        <v>841</v>
      </c>
      <c r="G9">
        <v>6</v>
      </c>
      <c r="H9" s="3"/>
    </row>
    <row r="10" spans="1:8" ht="15.75" x14ac:dyDescent="0.25">
      <c r="A10" s="1" t="s">
        <v>179</v>
      </c>
      <c r="B10">
        <v>53723</v>
      </c>
      <c r="C10" t="s">
        <v>205</v>
      </c>
      <c r="D10" t="s">
        <v>547</v>
      </c>
      <c r="E10" t="s">
        <v>842</v>
      </c>
      <c r="G10">
        <v>8</v>
      </c>
      <c r="H10" s="3"/>
    </row>
    <row r="11" spans="1:8" ht="15.75" x14ac:dyDescent="0.25">
      <c r="A11" s="1" t="s">
        <v>179</v>
      </c>
      <c r="B11">
        <v>53725</v>
      </c>
      <c r="C11" t="s">
        <v>206</v>
      </c>
      <c r="D11" t="s">
        <v>548</v>
      </c>
      <c r="E11" t="s">
        <v>843</v>
      </c>
      <c r="G11">
        <v>6</v>
      </c>
      <c r="H11" s="3"/>
    </row>
    <row r="12" spans="1:8" ht="15.75" x14ac:dyDescent="0.25">
      <c r="A12" s="1" t="s">
        <v>179</v>
      </c>
      <c r="B12">
        <v>60186</v>
      </c>
      <c r="C12" t="s">
        <v>207</v>
      </c>
      <c r="D12" t="s">
        <v>549</v>
      </c>
      <c r="E12" t="s">
        <v>844</v>
      </c>
      <c r="G12">
        <v>9</v>
      </c>
      <c r="H12" s="3"/>
    </row>
    <row r="13" spans="1:8" ht="15.75" x14ac:dyDescent="0.25">
      <c r="A13" s="1" t="s">
        <v>179</v>
      </c>
      <c r="B13">
        <v>60187</v>
      </c>
      <c r="C13" t="s">
        <v>208</v>
      </c>
      <c r="D13" t="s">
        <v>550</v>
      </c>
      <c r="E13" t="s">
        <v>845</v>
      </c>
      <c r="G13">
        <v>8</v>
      </c>
      <c r="H13" s="3"/>
    </row>
    <row r="14" spans="1:8" ht="15.75" x14ac:dyDescent="0.25">
      <c r="A14" s="1" t="s">
        <v>179</v>
      </c>
      <c r="B14">
        <v>60188</v>
      </c>
      <c r="C14" t="s">
        <v>209</v>
      </c>
      <c r="D14" t="s">
        <v>551</v>
      </c>
      <c r="E14" t="s">
        <v>846</v>
      </c>
      <c r="G14">
        <v>4</v>
      </c>
      <c r="H14" s="3"/>
    </row>
    <row r="15" spans="1:8" ht="15.75" x14ac:dyDescent="0.25">
      <c r="A15" s="1" t="s">
        <v>179</v>
      </c>
      <c r="B15">
        <v>60189</v>
      </c>
      <c r="C15" t="s">
        <v>210</v>
      </c>
      <c r="D15" t="s">
        <v>552</v>
      </c>
      <c r="E15" t="s">
        <v>847</v>
      </c>
      <c r="G15">
        <v>9</v>
      </c>
      <c r="H15" s="3"/>
    </row>
    <row r="16" spans="1:8" ht="15.75" x14ac:dyDescent="0.25">
      <c r="A16" s="1" t="s">
        <v>179</v>
      </c>
      <c r="B16">
        <v>60190</v>
      </c>
      <c r="C16" t="s">
        <v>211</v>
      </c>
      <c r="D16" t="s">
        <v>553</v>
      </c>
      <c r="E16" t="s">
        <v>848</v>
      </c>
      <c r="G16">
        <v>6</v>
      </c>
      <c r="H16" s="3"/>
    </row>
    <row r="17" spans="1:8" ht="15.75" x14ac:dyDescent="0.25">
      <c r="A17" s="1" t="s">
        <v>179</v>
      </c>
      <c r="B17">
        <v>60191</v>
      </c>
      <c r="C17" t="s">
        <v>212</v>
      </c>
      <c r="D17" t="s">
        <v>554</v>
      </c>
      <c r="E17" t="s">
        <v>849</v>
      </c>
      <c r="G17">
        <v>10</v>
      </c>
      <c r="H17" s="3"/>
    </row>
    <row r="18" spans="1:8" ht="15.75" x14ac:dyDescent="0.25">
      <c r="A18" s="1" t="s">
        <v>179</v>
      </c>
      <c r="B18">
        <v>22360</v>
      </c>
      <c r="C18" t="s">
        <v>213</v>
      </c>
      <c r="D18" t="s">
        <v>555</v>
      </c>
      <c r="E18" t="s">
        <v>850</v>
      </c>
      <c r="G18">
        <v>8</v>
      </c>
      <c r="H18" s="3"/>
    </row>
    <row r="19" spans="1:8" ht="15.75" x14ac:dyDescent="0.25">
      <c r="A19" s="1" t="s">
        <v>179</v>
      </c>
      <c r="B19">
        <v>31516</v>
      </c>
      <c r="C19" t="s">
        <v>214</v>
      </c>
      <c r="D19" t="s">
        <v>556</v>
      </c>
      <c r="E19" t="s">
        <v>851</v>
      </c>
      <c r="G19">
        <v>5</v>
      </c>
      <c r="H19" s="3"/>
    </row>
    <row r="20" spans="1:8" ht="15.75" x14ac:dyDescent="0.25">
      <c r="A20" s="1" t="s">
        <v>179</v>
      </c>
      <c r="B20">
        <v>31517</v>
      </c>
      <c r="C20" t="s">
        <v>215</v>
      </c>
      <c r="D20" t="s">
        <v>557</v>
      </c>
      <c r="E20" t="s">
        <v>852</v>
      </c>
      <c r="G20">
        <v>6</v>
      </c>
      <c r="H20" s="3"/>
    </row>
    <row r="21" spans="1:8" ht="15.75" x14ac:dyDescent="0.25">
      <c r="A21" s="1" t="s">
        <v>179</v>
      </c>
      <c r="B21">
        <v>33551</v>
      </c>
      <c r="C21" t="s">
        <v>216</v>
      </c>
      <c r="D21" t="s">
        <v>558</v>
      </c>
      <c r="E21" t="s">
        <v>853</v>
      </c>
      <c r="G21">
        <v>6</v>
      </c>
      <c r="H21" s="3"/>
    </row>
    <row r="22" spans="1:8" ht="15.75" x14ac:dyDescent="0.25">
      <c r="A22" s="1" t="s">
        <v>179</v>
      </c>
      <c r="B22">
        <v>33645</v>
      </c>
      <c r="C22" t="s">
        <v>217</v>
      </c>
      <c r="D22" t="s">
        <v>559</v>
      </c>
      <c r="E22" t="s">
        <v>854</v>
      </c>
      <c r="G22">
        <v>10</v>
      </c>
      <c r="H22" s="3"/>
    </row>
    <row r="23" spans="1:8" ht="15.75" x14ac:dyDescent="0.25">
      <c r="A23" s="1" t="s">
        <v>179</v>
      </c>
      <c r="B23">
        <v>34493</v>
      </c>
      <c r="C23" t="s">
        <v>218</v>
      </c>
      <c r="D23" t="s">
        <v>560</v>
      </c>
      <c r="E23" t="s">
        <v>855</v>
      </c>
      <c r="G23">
        <v>6</v>
      </c>
      <c r="H23" s="3"/>
    </row>
    <row r="24" spans="1:8" ht="15.75" x14ac:dyDescent="0.25">
      <c r="A24" s="1" t="s">
        <v>179</v>
      </c>
      <c r="B24">
        <v>45642</v>
      </c>
      <c r="C24" t="s">
        <v>219</v>
      </c>
      <c r="D24" t="s">
        <v>561</v>
      </c>
      <c r="E24" t="s">
        <v>856</v>
      </c>
      <c r="G24">
        <v>10</v>
      </c>
      <c r="H24" s="3"/>
    </row>
    <row r="25" spans="1:8" ht="15.75" x14ac:dyDescent="0.25">
      <c r="A25" s="1" t="s">
        <v>179</v>
      </c>
      <c r="B25">
        <v>50371</v>
      </c>
      <c r="C25" t="s">
        <v>220</v>
      </c>
      <c r="D25" t="s">
        <v>562</v>
      </c>
      <c r="E25" t="s">
        <v>857</v>
      </c>
      <c r="G25">
        <v>4</v>
      </c>
      <c r="H25" s="3"/>
    </row>
    <row r="26" spans="1:8" ht="15.75" x14ac:dyDescent="0.25">
      <c r="A26" s="1" t="s">
        <v>179</v>
      </c>
      <c r="B26">
        <v>50372</v>
      </c>
      <c r="C26" t="s">
        <v>221</v>
      </c>
      <c r="D26" t="s">
        <v>563</v>
      </c>
      <c r="E26" t="s">
        <v>858</v>
      </c>
      <c r="G26">
        <v>10</v>
      </c>
      <c r="H26" s="3"/>
    </row>
    <row r="27" spans="1:8" ht="15.75" x14ac:dyDescent="0.25">
      <c r="A27" s="1" t="s">
        <v>179</v>
      </c>
      <c r="B27">
        <v>61268</v>
      </c>
      <c r="C27" t="s">
        <v>222</v>
      </c>
      <c r="D27" t="s">
        <v>564</v>
      </c>
      <c r="E27" t="s">
        <v>859</v>
      </c>
      <c r="G27">
        <v>8</v>
      </c>
      <c r="H27" s="3"/>
    </row>
    <row r="28" spans="1:8" ht="15.75" x14ac:dyDescent="0.25">
      <c r="A28" s="1" t="s">
        <v>179</v>
      </c>
      <c r="B28">
        <v>67223</v>
      </c>
      <c r="C28" t="s">
        <v>223</v>
      </c>
      <c r="D28" t="s">
        <v>565</v>
      </c>
      <c r="E28" t="s">
        <v>860</v>
      </c>
      <c r="G28">
        <v>7</v>
      </c>
      <c r="H28" s="3"/>
    </row>
    <row r="29" spans="1:8" ht="15.75" x14ac:dyDescent="0.25">
      <c r="A29" s="1" t="s">
        <v>180</v>
      </c>
      <c r="B29">
        <v>20349</v>
      </c>
      <c r="C29" t="s">
        <v>224</v>
      </c>
      <c r="D29" t="s">
        <v>566</v>
      </c>
      <c r="E29" t="s">
        <v>861</v>
      </c>
      <c r="G29">
        <v>8</v>
      </c>
      <c r="H29" s="3"/>
    </row>
    <row r="30" spans="1:8" ht="15.75" x14ac:dyDescent="0.25">
      <c r="A30" s="1" t="s">
        <v>180</v>
      </c>
      <c r="B30">
        <v>20507</v>
      </c>
      <c r="C30" t="s">
        <v>225</v>
      </c>
      <c r="D30" t="s">
        <v>567</v>
      </c>
      <c r="E30" t="s">
        <v>862</v>
      </c>
      <c r="G30">
        <v>6</v>
      </c>
      <c r="H30" s="3"/>
    </row>
    <row r="31" spans="1:8" ht="15.75" x14ac:dyDescent="0.25">
      <c r="A31" s="1" t="s">
        <v>180</v>
      </c>
      <c r="B31">
        <v>49078</v>
      </c>
      <c r="C31" t="s">
        <v>226</v>
      </c>
      <c r="D31" t="s">
        <v>568</v>
      </c>
      <c r="E31" t="s">
        <v>863</v>
      </c>
      <c r="G31">
        <v>8</v>
      </c>
      <c r="H31" s="3"/>
    </row>
    <row r="32" spans="1:8" ht="15.75" x14ac:dyDescent="0.25">
      <c r="A32" s="1" t="s">
        <v>180</v>
      </c>
      <c r="B32">
        <v>51919</v>
      </c>
      <c r="C32" t="s">
        <v>227</v>
      </c>
      <c r="D32" t="s">
        <v>569</v>
      </c>
      <c r="E32" t="s">
        <v>864</v>
      </c>
      <c r="G32">
        <v>4</v>
      </c>
      <c r="H32" s="3"/>
    </row>
    <row r="33" spans="1:8" ht="15.75" x14ac:dyDescent="0.25">
      <c r="A33" s="1" t="s">
        <v>180</v>
      </c>
      <c r="B33">
        <v>57876</v>
      </c>
      <c r="C33" t="s">
        <v>228</v>
      </c>
      <c r="D33" t="s">
        <v>570</v>
      </c>
      <c r="E33" t="s">
        <v>865</v>
      </c>
      <c r="G33">
        <v>10</v>
      </c>
      <c r="H33" s="3"/>
    </row>
    <row r="34" spans="1:8" ht="15.75" x14ac:dyDescent="0.25">
      <c r="A34" s="1" t="s">
        <v>180</v>
      </c>
      <c r="B34">
        <v>63696</v>
      </c>
      <c r="C34" t="s">
        <v>229</v>
      </c>
      <c r="D34" t="s">
        <v>571</v>
      </c>
      <c r="E34" t="s">
        <v>866</v>
      </c>
      <c r="G34">
        <v>6</v>
      </c>
      <c r="H34" s="3"/>
    </row>
    <row r="35" spans="1:8" ht="15.75" x14ac:dyDescent="0.25">
      <c r="A35" s="1" t="s">
        <v>180</v>
      </c>
      <c r="B35">
        <v>73113</v>
      </c>
      <c r="C35" t="s">
        <v>230</v>
      </c>
      <c r="D35" t="s">
        <v>572</v>
      </c>
      <c r="E35" t="s">
        <v>867</v>
      </c>
      <c r="G35">
        <v>5</v>
      </c>
      <c r="H35" s="3"/>
    </row>
    <row r="36" spans="1:8" ht="15.75" x14ac:dyDescent="0.25">
      <c r="A36" s="1" t="s">
        <v>180</v>
      </c>
      <c r="B36">
        <v>46454</v>
      </c>
      <c r="C36" t="s">
        <v>231</v>
      </c>
      <c r="D36" t="s">
        <v>573</v>
      </c>
      <c r="E36" t="s">
        <v>868</v>
      </c>
      <c r="G36">
        <v>2</v>
      </c>
      <c r="H36" s="3"/>
    </row>
    <row r="37" spans="1:8" ht="15.75" x14ac:dyDescent="0.25">
      <c r="A37" s="1" t="s">
        <v>180</v>
      </c>
      <c r="B37">
        <v>58900</v>
      </c>
      <c r="C37" t="s">
        <v>232</v>
      </c>
      <c r="D37" t="s">
        <v>574</v>
      </c>
      <c r="E37" t="s">
        <v>869</v>
      </c>
      <c r="G37">
        <v>7</v>
      </c>
      <c r="H37" s="3"/>
    </row>
    <row r="38" spans="1:8" ht="15.75" x14ac:dyDescent="0.25">
      <c r="A38" s="1" t="s">
        <v>180</v>
      </c>
      <c r="B38">
        <v>65163</v>
      </c>
      <c r="C38" t="s">
        <v>233</v>
      </c>
      <c r="D38" t="s">
        <v>575</v>
      </c>
      <c r="E38" t="s">
        <v>870</v>
      </c>
      <c r="G38">
        <v>7</v>
      </c>
      <c r="H38" s="3"/>
    </row>
    <row r="39" spans="1:8" ht="15.75" x14ac:dyDescent="0.25">
      <c r="A39" s="1" t="s">
        <v>180</v>
      </c>
      <c r="B39">
        <v>70825</v>
      </c>
      <c r="C39" t="s">
        <v>234</v>
      </c>
      <c r="D39" t="s">
        <v>576</v>
      </c>
      <c r="E39" t="s">
        <v>871</v>
      </c>
      <c r="G39">
        <v>5</v>
      </c>
      <c r="H39" s="3"/>
    </row>
    <row r="40" spans="1:8" ht="15.75" x14ac:dyDescent="0.25">
      <c r="A40" s="1" t="s">
        <v>180</v>
      </c>
      <c r="B40">
        <v>70826</v>
      </c>
      <c r="C40" t="s">
        <v>235</v>
      </c>
      <c r="D40" t="s">
        <v>577</v>
      </c>
      <c r="E40" t="s">
        <v>872</v>
      </c>
      <c r="G40">
        <v>3</v>
      </c>
      <c r="H40" s="3"/>
    </row>
    <row r="41" spans="1:8" ht="15.75" x14ac:dyDescent="0.25">
      <c r="A41" s="1" t="s">
        <v>180</v>
      </c>
      <c r="B41">
        <v>71791</v>
      </c>
      <c r="C41" t="s">
        <v>236</v>
      </c>
      <c r="D41" t="s">
        <v>578</v>
      </c>
      <c r="E41" t="s">
        <v>873</v>
      </c>
      <c r="G41">
        <v>7</v>
      </c>
      <c r="H41" s="3"/>
    </row>
    <row r="42" spans="1:8" ht="15.75" x14ac:dyDescent="0.25">
      <c r="A42" s="1" t="s">
        <v>180</v>
      </c>
      <c r="B42">
        <v>71956</v>
      </c>
      <c r="C42" t="s">
        <v>237</v>
      </c>
      <c r="D42" t="s">
        <v>579</v>
      </c>
      <c r="E42" t="s">
        <v>874</v>
      </c>
      <c r="G42">
        <v>2</v>
      </c>
      <c r="H42" s="3"/>
    </row>
    <row r="43" spans="1:8" ht="15.75" x14ac:dyDescent="0.25">
      <c r="A43" s="1" t="s">
        <v>180</v>
      </c>
      <c r="B43">
        <v>72049</v>
      </c>
      <c r="C43" t="s">
        <v>238</v>
      </c>
      <c r="D43" t="s">
        <v>580</v>
      </c>
      <c r="E43" t="s">
        <v>875</v>
      </c>
      <c r="G43">
        <v>6</v>
      </c>
      <c r="H43" s="3"/>
    </row>
    <row r="44" spans="1:8" ht="15.75" x14ac:dyDescent="0.25">
      <c r="A44" s="1" t="s">
        <v>180</v>
      </c>
      <c r="B44">
        <v>72103</v>
      </c>
      <c r="C44" t="s">
        <v>239</v>
      </c>
      <c r="D44" t="s">
        <v>581</v>
      </c>
      <c r="E44" t="s">
        <v>876</v>
      </c>
      <c r="G44">
        <v>4</v>
      </c>
      <c r="H44" s="3"/>
    </row>
    <row r="45" spans="1:8" ht="15.75" x14ac:dyDescent="0.25">
      <c r="A45" s="1" t="s">
        <v>180</v>
      </c>
      <c r="B45">
        <v>73394</v>
      </c>
      <c r="C45" t="s">
        <v>240</v>
      </c>
      <c r="D45" t="s">
        <v>582</v>
      </c>
      <c r="E45" t="s">
        <v>877</v>
      </c>
      <c r="G45">
        <v>6</v>
      </c>
      <c r="H45" s="3"/>
    </row>
    <row r="46" spans="1:8" ht="15.75" x14ac:dyDescent="0.25">
      <c r="A46" s="1" t="s">
        <v>181</v>
      </c>
      <c r="B46">
        <v>7353</v>
      </c>
      <c r="C46" t="s">
        <v>241</v>
      </c>
      <c r="D46" t="s">
        <v>583</v>
      </c>
      <c r="E46" t="s">
        <v>878</v>
      </c>
      <c r="G46">
        <v>10</v>
      </c>
      <c r="H46" s="3"/>
    </row>
    <row r="47" spans="1:8" ht="15.75" x14ac:dyDescent="0.25">
      <c r="A47" s="1" t="s">
        <v>181</v>
      </c>
      <c r="B47">
        <v>64664</v>
      </c>
      <c r="C47" t="s">
        <v>242</v>
      </c>
      <c r="D47" t="s">
        <v>584</v>
      </c>
      <c r="E47" t="s">
        <v>879</v>
      </c>
      <c r="G47">
        <v>6</v>
      </c>
      <c r="H47" s="3"/>
    </row>
    <row r="48" spans="1:8" ht="15.75" x14ac:dyDescent="0.25">
      <c r="A48" s="1" t="s">
        <v>181</v>
      </c>
      <c r="B48">
        <v>64665</v>
      </c>
      <c r="C48" t="s">
        <v>243</v>
      </c>
      <c r="D48" t="s">
        <v>585</v>
      </c>
      <c r="E48" t="s">
        <v>880</v>
      </c>
      <c r="G48">
        <v>5</v>
      </c>
      <c r="H48" s="3"/>
    </row>
    <row r="49" spans="1:8" ht="15.75" x14ac:dyDescent="0.25">
      <c r="A49" s="1" t="s">
        <v>181</v>
      </c>
      <c r="B49">
        <v>66718</v>
      </c>
      <c r="C49" t="s">
        <v>244</v>
      </c>
      <c r="D49" t="s">
        <v>586</v>
      </c>
      <c r="E49" t="s">
        <v>881</v>
      </c>
      <c r="G49">
        <v>6</v>
      </c>
      <c r="H49" s="3"/>
    </row>
    <row r="50" spans="1:8" ht="15.75" x14ac:dyDescent="0.25">
      <c r="A50" s="1" t="s">
        <v>181</v>
      </c>
      <c r="B50">
        <v>67426</v>
      </c>
      <c r="C50" t="s">
        <v>245</v>
      </c>
      <c r="D50" t="s">
        <v>587</v>
      </c>
      <c r="E50" t="s">
        <v>882</v>
      </c>
      <c r="G50">
        <v>6</v>
      </c>
      <c r="H50" s="3"/>
    </row>
    <row r="51" spans="1:8" ht="15.75" x14ac:dyDescent="0.25">
      <c r="A51" s="1" t="s">
        <v>181</v>
      </c>
      <c r="B51">
        <v>70859</v>
      </c>
      <c r="C51" t="s">
        <v>246</v>
      </c>
      <c r="D51" t="s">
        <v>588</v>
      </c>
      <c r="E51" t="s">
        <v>883</v>
      </c>
      <c r="G51">
        <v>6</v>
      </c>
      <c r="H51" s="3"/>
    </row>
    <row r="52" spans="1:8" ht="15.75" x14ac:dyDescent="0.25">
      <c r="A52" s="1" t="s">
        <v>181</v>
      </c>
      <c r="B52">
        <v>71355</v>
      </c>
      <c r="C52" t="s">
        <v>247</v>
      </c>
      <c r="D52" t="s">
        <v>589</v>
      </c>
      <c r="E52" t="s">
        <v>884</v>
      </c>
      <c r="G52">
        <v>6</v>
      </c>
      <c r="H52" s="3"/>
    </row>
    <row r="53" spans="1:8" ht="15.75" x14ac:dyDescent="0.25">
      <c r="A53" s="1" t="s">
        <v>181</v>
      </c>
      <c r="B53">
        <v>71574</v>
      </c>
      <c r="C53" t="s">
        <v>248</v>
      </c>
      <c r="D53" t="s">
        <v>590</v>
      </c>
      <c r="E53" t="s">
        <v>885</v>
      </c>
      <c r="G53">
        <v>6</v>
      </c>
      <c r="H53" s="3"/>
    </row>
    <row r="54" spans="1:8" ht="15.75" x14ac:dyDescent="0.25">
      <c r="A54" s="1" t="s">
        <v>181</v>
      </c>
      <c r="B54">
        <v>72004</v>
      </c>
      <c r="C54" t="s">
        <v>249</v>
      </c>
      <c r="D54" t="s">
        <v>591</v>
      </c>
      <c r="E54" t="s">
        <v>886</v>
      </c>
      <c r="G54">
        <v>5</v>
      </c>
      <c r="H54" s="3"/>
    </row>
    <row r="55" spans="1:8" ht="15.75" x14ac:dyDescent="0.25">
      <c r="A55" s="1" t="s">
        <v>181</v>
      </c>
      <c r="B55">
        <v>72016</v>
      </c>
      <c r="C55" t="s">
        <v>250</v>
      </c>
      <c r="D55" t="s">
        <v>592</v>
      </c>
      <c r="E55" t="s">
        <v>887</v>
      </c>
      <c r="G55">
        <v>6</v>
      </c>
      <c r="H55" s="3"/>
    </row>
    <row r="56" spans="1:8" ht="15.75" x14ac:dyDescent="0.25">
      <c r="A56" s="1" t="s">
        <v>181</v>
      </c>
      <c r="B56">
        <v>72208</v>
      </c>
      <c r="C56" t="s">
        <v>251</v>
      </c>
      <c r="D56" t="s">
        <v>593</v>
      </c>
      <c r="E56" t="s">
        <v>888</v>
      </c>
      <c r="G56">
        <v>5</v>
      </c>
      <c r="H56" s="3"/>
    </row>
    <row r="57" spans="1:8" ht="15.75" x14ac:dyDescent="0.25">
      <c r="A57" s="1" t="s">
        <v>181</v>
      </c>
      <c r="B57">
        <v>72326</v>
      </c>
      <c r="C57" t="s">
        <v>252</v>
      </c>
      <c r="D57" t="s">
        <v>594</v>
      </c>
      <c r="E57" t="s">
        <v>889</v>
      </c>
      <c r="G57">
        <v>8</v>
      </c>
      <c r="H57" s="3"/>
    </row>
    <row r="58" spans="1:8" ht="15.75" x14ac:dyDescent="0.25">
      <c r="A58" s="1" t="s">
        <v>181</v>
      </c>
      <c r="B58">
        <v>61772</v>
      </c>
      <c r="C58" t="s">
        <v>253</v>
      </c>
      <c r="D58" t="s">
        <v>595</v>
      </c>
      <c r="E58" t="s">
        <v>890</v>
      </c>
      <c r="G58">
        <v>5</v>
      </c>
      <c r="H58" s="3"/>
    </row>
    <row r="59" spans="1:8" ht="15.75" x14ac:dyDescent="0.25">
      <c r="A59" s="1" t="s">
        <v>181</v>
      </c>
      <c r="B59">
        <v>65761</v>
      </c>
      <c r="C59" t="s">
        <v>254</v>
      </c>
      <c r="D59" t="s">
        <v>596</v>
      </c>
      <c r="E59" t="s">
        <v>891</v>
      </c>
      <c r="G59">
        <v>6</v>
      </c>
      <c r="H59" s="3"/>
    </row>
    <row r="60" spans="1:8" ht="15.75" x14ac:dyDescent="0.25">
      <c r="A60" s="1" t="s">
        <v>181</v>
      </c>
      <c r="B60">
        <v>66181</v>
      </c>
      <c r="C60" t="s">
        <v>255</v>
      </c>
      <c r="D60" t="s">
        <v>597</v>
      </c>
      <c r="E60" t="s">
        <v>892</v>
      </c>
      <c r="G60">
        <v>8</v>
      </c>
      <c r="H60" s="3"/>
    </row>
    <row r="61" spans="1:8" ht="15.75" x14ac:dyDescent="0.25">
      <c r="A61" s="1" t="s">
        <v>181</v>
      </c>
      <c r="B61">
        <v>66485</v>
      </c>
      <c r="C61" t="s">
        <v>256</v>
      </c>
      <c r="D61" t="s">
        <v>598</v>
      </c>
      <c r="E61" t="s">
        <v>893</v>
      </c>
      <c r="G61">
        <v>6</v>
      </c>
      <c r="H61" s="3"/>
    </row>
    <row r="62" spans="1:8" ht="15.75" x14ac:dyDescent="0.25">
      <c r="A62" s="1" t="s">
        <v>181</v>
      </c>
      <c r="B62">
        <v>67976</v>
      </c>
      <c r="C62" t="s">
        <v>257</v>
      </c>
      <c r="D62" t="s">
        <v>599</v>
      </c>
      <c r="E62" t="s">
        <v>894</v>
      </c>
      <c r="G62">
        <v>5</v>
      </c>
      <c r="H62" s="3"/>
    </row>
    <row r="63" spans="1:8" ht="15.75" x14ac:dyDescent="0.25">
      <c r="A63" s="1" t="s">
        <v>181</v>
      </c>
      <c r="B63">
        <v>71168</v>
      </c>
      <c r="C63" t="s">
        <v>258</v>
      </c>
      <c r="D63" t="s">
        <v>600</v>
      </c>
      <c r="E63" t="s">
        <v>895</v>
      </c>
      <c r="G63">
        <v>8</v>
      </c>
      <c r="H63" s="3"/>
    </row>
    <row r="64" spans="1:8" ht="15.75" x14ac:dyDescent="0.25">
      <c r="A64" s="1" t="s">
        <v>181</v>
      </c>
      <c r="B64">
        <v>71459</v>
      </c>
      <c r="C64" t="s">
        <v>259</v>
      </c>
      <c r="D64" t="s">
        <v>601</v>
      </c>
      <c r="E64" t="s">
        <v>896</v>
      </c>
      <c r="G64">
        <v>10</v>
      </c>
      <c r="H64" s="3"/>
    </row>
    <row r="65" spans="1:8" ht="15.75" x14ac:dyDescent="0.25">
      <c r="A65" s="1" t="s">
        <v>181</v>
      </c>
      <c r="B65">
        <v>71710</v>
      </c>
      <c r="C65" t="s">
        <v>260</v>
      </c>
      <c r="D65" t="s">
        <v>602</v>
      </c>
      <c r="E65" t="s">
        <v>897</v>
      </c>
      <c r="G65">
        <v>8</v>
      </c>
      <c r="H65" s="3"/>
    </row>
    <row r="66" spans="1:8" ht="15.75" x14ac:dyDescent="0.25">
      <c r="A66" s="1" t="s">
        <v>181</v>
      </c>
      <c r="B66">
        <v>72066</v>
      </c>
      <c r="C66" t="s">
        <v>261</v>
      </c>
      <c r="D66" t="s">
        <v>603</v>
      </c>
      <c r="E66" t="s">
        <v>898</v>
      </c>
      <c r="G66">
        <v>7</v>
      </c>
      <c r="H66" s="3"/>
    </row>
    <row r="67" spans="1:8" ht="15.75" x14ac:dyDescent="0.25">
      <c r="A67" s="1" t="s">
        <v>181</v>
      </c>
      <c r="B67">
        <v>73351</v>
      </c>
      <c r="C67" t="s">
        <v>262</v>
      </c>
      <c r="D67" t="s">
        <v>604</v>
      </c>
      <c r="E67" t="s">
        <v>899</v>
      </c>
      <c r="G67">
        <v>3</v>
      </c>
      <c r="H67" s="3"/>
    </row>
    <row r="68" spans="1:8" ht="15.75" x14ac:dyDescent="0.25">
      <c r="A68" s="1" t="s">
        <v>181</v>
      </c>
      <c r="B68">
        <v>73391</v>
      </c>
      <c r="C68" t="s">
        <v>263</v>
      </c>
      <c r="D68" t="s">
        <v>605</v>
      </c>
      <c r="E68" t="s">
        <v>900</v>
      </c>
      <c r="G68">
        <v>6</v>
      </c>
      <c r="H68" s="3"/>
    </row>
    <row r="69" spans="1:8" ht="15.75" x14ac:dyDescent="0.25">
      <c r="A69" s="1" t="s">
        <v>181</v>
      </c>
      <c r="B69">
        <v>73708</v>
      </c>
      <c r="C69" t="s">
        <v>264</v>
      </c>
      <c r="D69" t="s">
        <v>606</v>
      </c>
      <c r="E69" t="s">
        <v>901</v>
      </c>
      <c r="G69">
        <v>7</v>
      </c>
      <c r="H69" s="3"/>
    </row>
    <row r="70" spans="1:8" ht="15.75" x14ac:dyDescent="0.25">
      <c r="A70" s="1" t="s">
        <v>182</v>
      </c>
      <c r="B70">
        <v>54250</v>
      </c>
      <c r="C70" t="s">
        <v>265</v>
      </c>
      <c r="D70" t="s">
        <v>607</v>
      </c>
      <c r="E70" t="s">
        <v>902</v>
      </c>
      <c r="G70">
        <v>8</v>
      </c>
      <c r="H70" s="3"/>
    </row>
    <row r="71" spans="1:8" ht="15.75" x14ac:dyDescent="0.25">
      <c r="A71" s="1" t="s">
        <v>182</v>
      </c>
      <c r="B71">
        <v>57492</v>
      </c>
      <c r="C71" t="s">
        <v>266</v>
      </c>
      <c r="D71" t="s">
        <v>608</v>
      </c>
      <c r="E71" t="s">
        <v>903</v>
      </c>
      <c r="G71">
        <v>5</v>
      </c>
      <c r="H71" s="3"/>
    </row>
    <row r="72" spans="1:8" ht="15.75" x14ac:dyDescent="0.25">
      <c r="A72" s="1" t="s">
        <v>182</v>
      </c>
      <c r="B72">
        <v>67933</v>
      </c>
      <c r="C72" t="s">
        <v>267</v>
      </c>
      <c r="D72" t="s">
        <v>609</v>
      </c>
      <c r="E72" t="s">
        <v>904</v>
      </c>
      <c r="G72">
        <v>6</v>
      </c>
      <c r="H72" s="3"/>
    </row>
    <row r="73" spans="1:8" ht="15.75" x14ac:dyDescent="0.25">
      <c r="A73" s="1" t="s">
        <v>182</v>
      </c>
      <c r="B73">
        <v>68506</v>
      </c>
      <c r="C73" t="s">
        <v>268</v>
      </c>
      <c r="D73" t="s">
        <v>610</v>
      </c>
      <c r="E73" t="s">
        <v>905</v>
      </c>
      <c r="G73">
        <v>5</v>
      </c>
      <c r="H73" s="3"/>
    </row>
    <row r="74" spans="1:8" ht="15.75" x14ac:dyDescent="0.25">
      <c r="A74" s="1" t="s">
        <v>182</v>
      </c>
      <c r="B74">
        <v>69003</v>
      </c>
      <c r="C74" t="s">
        <v>269</v>
      </c>
      <c r="D74" t="s">
        <v>611</v>
      </c>
      <c r="E74" t="s">
        <v>906</v>
      </c>
      <c r="G74">
        <v>9</v>
      </c>
      <c r="H74" s="3"/>
    </row>
    <row r="75" spans="1:8" ht="15.75" x14ac:dyDescent="0.25">
      <c r="A75" s="1" t="s">
        <v>182</v>
      </c>
      <c r="B75">
        <v>72156</v>
      </c>
      <c r="C75" t="s">
        <v>270</v>
      </c>
      <c r="D75" t="s">
        <v>612</v>
      </c>
      <c r="E75" t="s">
        <v>907</v>
      </c>
      <c r="G75">
        <v>3</v>
      </c>
      <c r="H75" s="3"/>
    </row>
    <row r="76" spans="1:8" ht="15.75" x14ac:dyDescent="0.25">
      <c r="A76" s="1" t="s">
        <v>182</v>
      </c>
      <c r="B76">
        <v>25749</v>
      </c>
      <c r="C76" t="s">
        <v>271</v>
      </c>
      <c r="D76" t="s">
        <v>613</v>
      </c>
      <c r="E76" t="s">
        <v>908</v>
      </c>
      <c r="G76">
        <v>5</v>
      </c>
      <c r="H76" s="3"/>
    </row>
    <row r="77" spans="1:8" ht="15.75" x14ac:dyDescent="0.25">
      <c r="A77" s="1" t="s">
        <v>182</v>
      </c>
      <c r="B77">
        <v>46108</v>
      </c>
      <c r="C77" t="s">
        <v>272</v>
      </c>
      <c r="D77" t="s">
        <v>614</v>
      </c>
      <c r="E77" t="s">
        <v>909</v>
      </c>
      <c r="G77">
        <v>7</v>
      </c>
      <c r="H77" s="3"/>
    </row>
    <row r="78" spans="1:8" ht="15.75" x14ac:dyDescent="0.25">
      <c r="A78" s="1" t="s">
        <v>182</v>
      </c>
      <c r="B78">
        <v>52615</v>
      </c>
      <c r="C78" t="s">
        <v>273</v>
      </c>
      <c r="D78" t="s">
        <v>615</v>
      </c>
      <c r="E78" t="s">
        <v>910</v>
      </c>
      <c r="G78">
        <v>9</v>
      </c>
      <c r="H78" s="3"/>
    </row>
    <row r="79" spans="1:8" ht="15.75" x14ac:dyDescent="0.25">
      <c r="A79" s="1" t="s">
        <v>182</v>
      </c>
      <c r="B79">
        <v>56466</v>
      </c>
      <c r="C79" t="s">
        <v>274</v>
      </c>
      <c r="D79" t="s">
        <v>616</v>
      </c>
      <c r="E79" t="s">
        <v>911</v>
      </c>
      <c r="G79">
        <v>7</v>
      </c>
      <c r="H79" s="3"/>
    </row>
    <row r="80" spans="1:8" ht="15.75" x14ac:dyDescent="0.25">
      <c r="A80" s="1" t="s">
        <v>182</v>
      </c>
      <c r="B80">
        <v>60769</v>
      </c>
      <c r="C80" t="s">
        <v>275</v>
      </c>
      <c r="D80" t="s">
        <v>617</v>
      </c>
      <c r="E80" t="s">
        <v>912</v>
      </c>
      <c r="G80">
        <v>5</v>
      </c>
      <c r="H80" s="3"/>
    </row>
    <row r="81" spans="1:8" ht="15.75" x14ac:dyDescent="0.25">
      <c r="A81" s="1" t="s">
        <v>182</v>
      </c>
      <c r="B81">
        <v>66494</v>
      </c>
      <c r="C81" t="s">
        <v>276</v>
      </c>
      <c r="D81" t="s">
        <v>618</v>
      </c>
      <c r="E81" t="s">
        <v>913</v>
      </c>
      <c r="G81">
        <v>9</v>
      </c>
      <c r="H81" s="3"/>
    </row>
    <row r="82" spans="1:8" ht="15.75" x14ac:dyDescent="0.25">
      <c r="A82" s="1" t="s">
        <v>182</v>
      </c>
      <c r="B82">
        <v>70668</v>
      </c>
      <c r="C82" t="s">
        <v>277</v>
      </c>
      <c r="D82" t="s">
        <v>619</v>
      </c>
      <c r="E82" t="s">
        <v>914</v>
      </c>
      <c r="G82">
        <v>5</v>
      </c>
      <c r="H82" s="3"/>
    </row>
    <row r="83" spans="1:8" ht="15.75" x14ac:dyDescent="0.25">
      <c r="A83" s="1" t="s">
        <v>182</v>
      </c>
      <c r="B83">
        <v>71677</v>
      </c>
      <c r="C83" t="s">
        <v>278</v>
      </c>
      <c r="D83" t="s">
        <v>620</v>
      </c>
      <c r="E83" t="s">
        <v>915</v>
      </c>
      <c r="G83">
        <v>4</v>
      </c>
      <c r="H83" s="3"/>
    </row>
    <row r="84" spans="1:8" ht="15.75" x14ac:dyDescent="0.25">
      <c r="A84" s="1" t="s">
        <v>182</v>
      </c>
      <c r="B84">
        <v>74021</v>
      </c>
      <c r="C84" t="s">
        <v>279</v>
      </c>
      <c r="D84" t="s">
        <v>621</v>
      </c>
      <c r="E84" t="s">
        <v>916</v>
      </c>
      <c r="G84">
        <v>5</v>
      </c>
      <c r="H84" s="3"/>
    </row>
    <row r="85" spans="1:8" ht="15.75" x14ac:dyDescent="0.25">
      <c r="A85" s="1" t="s">
        <v>1171</v>
      </c>
      <c r="B85">
        <v>35481</v>
      </c>
      <c r="C85" t="s">
        <v>280</v>
      </c>
      <c r="D85" t="s">
        <v>622</v>
      </c>
      <c r="E85" t="s">
        <v>917</v>
      </c>
      <c r="G85">
        <v>4</v>
      </c>
      <c r="H85" s="3"/>
    </row>
    <row r="86" spans="1:8" ht="15.75" x14ac:dyDescent="0.25">
      <c r="A86" s="1" t="s">
        <v>1171</v>
      </c>
      <c r="B86">
        <v>43930</v>
      </c>
      <c r="C86" t="s">
        <v>281</v>
      </c>
      <c r="D86" t="s">
        <v>623</v>
      </c>
      <c r="E86" t="s">
        <v>918</v>
      </c>
      <c r="G86">
        <v>4</v>
      </c>
      <c r="H86" s="3"/>
    </row>
    <row r="87" spans="1:8" ht="15.75" x14ac:dyDescent="0.25">
      <c r="A87" s="1" t="s">
        <v>1171</v>
      </c>
      <c r="B87">
        <v>48342</v>
      </c>
      <c r="C87" t="s">
        <v>282</v>
      </c>
      <c r="D87" t="s">
        <v>624</v>
      </c>
      <c r="E87" t="s">
        <v>919</v>
      </c>
      <c r="G87">
        <v>7</v>
      </c>
      <c r="H87" s="3"/>
    </row>
    <row r="88" spans="1:8" ht="15.75" x14ac:dyDescent="0.25">
      <c r="A88" s="1" t="s">
        <v>1171</v>
      </c>
      <c r="B88">
        <v>62031</v>
      </c>
      <c r="C88" t="s">
        <v>283</v>
      </c>
      <c r="D88" t="s">
        <v>625</v>
      </c>
      <c r="E88" t="s">
        <v>920</v>
      </c>
      <c r="G88">
        <v>4</v>
      </c>
      <c r="H88" s="3"/>
    </row>
    <row r="89" spans="1:8" ht="15.75" x14ac:dyDescent="0.25">
      <c r="A89" s="1" t="s">
        <v>1171</v>
      </c>
      <c r="B89">
        <v>64960</v>
      </c>
      <c r="C89" t="s">
        <v>284</v>
      </c>
      <c r="D89" t="s">
        <v>626</v>
      </c>
      <c r="E89" t="s">
        <v>921</v>
      </c>
      <c r="G89">
        <v>5</v>
      </c>
      <c r="H89" s="3"/>
    </row>
    <row r="90" spans="1:8" ht="15.75" x14ac:dyDescent="0.25">
      <c r="A90" s="1" t="s">
        <v>1171</v>
      </c>
      <c r="B90">
        <v>68109</v>
      </c>
      <c r="C90" t="s">
        <v>285</v>
      </c>
      <c r="D90" t="s">
        <v>627</v>
      </c>
      <c r="E90" t="s">
        <v>922</v>
      </c>
      <c r="G90">
        <v>5</v>
      </c>
      <c r="H90" s="3"/>
    </row>
    <row r="91" spans="1:8" ht="15.75" x14ac:dyDescent="0.25">
      <c r="A91" s="1" t="s">
        <v>1171</v>
      </c>
      <c r="B91">
        <v>68869</v>
      </c>
      <c r="C91" t="s">
        <v>286</v>
      </c>
      <c r="D91" t="s">
        <v>628</v>
      </c>
      <c r="E91" t="s">
        <v>923</v>
      </c>
      <c r="G91">
        <v>4</v>
      </c>
      <c r="H91" s="3"/>
    </row>
    <row r="92" spans="1:8" ht="15.75" x14ac:dyDescent="0.25">
      <c r="A92" s="1" t="s">
        <v>1171</v>
      </c>
      <c r="B92">
        <v>70745</v>
      </c>
      <c r="C92" t="s">
        <v>287</v>
      </c>
      <c r="D92" t="s">
        <v>629</v>
      </c>
      <c r="E92" t="s">
        <v>924</v>
      </c>
      <c r="G92">
        <v>4</v>
      </c>
      <c r="H92" s="3"/>
    </row>
    <row r="93" spans="1:8" ht="15.75" x14ac:dyDescent="0.25">
      <c r="A93" s="1" t="s">
        <v>1171</v>
      </c>
      <c r="B93">
        <v>73400</v>
      </c>
      <c r="C93" t="s">
        <v>269</v>
      </c>
      <c r="D93" t="s">
        <v>630</v>
      </c>
      <c r="E93" t="s">
        <v>925</v>
      </c>
      <c r="G93">
        <v>6</v>
      </c>
      <c r="H93" s="3"/>
    </row>
    <row r="94" spans="1:8" ht="15.75" x14ac:dyDescent="0.25">
      <c r="A94" s="1" t="s">
        <v>1171</v>
      </c>
      <c r="B94">
        <v>2916</v>
      </c>
      <c r="C94" t="s">
        <v>277</v>
      </c>
      <c r="D94" t="s">
        <v>631</v>
      </c>
      <c r="E94" t="s">
        <v>926</v>
      </c>
      <c r="G94">
        <v>8</v>
      </c>
      <c r="H94" s="3"/>
    </row>
    <row r="95" spans="1:8" ht="15.75" x14ac:dyDescent="0.25">
      <c r="A95" s="1" t="s">
        <v>1171</v>
      </c>
      <c r="B95">
        <v>61800</v>
      </c>
      <c r="C95" t="s">
        <v>266</v>
      </c>
      <c r="D95" t="s">
        <v>632</v>
      </c>
      <c r="E95" t="s">
        <v>927</v>
      </c>
      <c r="G95">
        <v>4</v>
      </c>
      <c r="H95" s="3"/>
    </row>
    <row r="96" spans="1:8" ht="15.75" x14ac:dyDescent="0.25">
      <c r="A96" s="1" t="s">
        <v>1171</v>
      </c>
      <c r="B96">
        <v>65394</v>
      </c>
      <c r="C96" t="s">
        <v>288</v>
      </c>
      <c r="D96" t="s">
        <v>633</v>
      </c>
      <c r="E96" t="s">
        <v>928</v>
      </c>
      <c r="G96">
        <v>4</v>
      </c>
      <c r="H96" s="3"/>
    </row>
    <row r="97" spans="1:8" ht="15.75" x14ac:dyDescent="0.25">
      <c r="A97" s="1" t="s">
        <v>1171</v>
      </c>
      <c r="B97">
        <v>65737</v>
      </c>
      <c r="C97" t="s">
        <v>268</v>
      </c>
      <c r="D97" t="s">
        <v>634</v>
      </c>
      <c r="E97" t="s">
        <v>929</v>
      </c>
      <c r="G97">
        <v>4</v>
      </c>
      <c r="H97" s="3"/>
    </row>
    <row r="98" spans="1:8" ht="15.75" x14ac:dyDescent="0.25">
      <c r="A98" s="1" t="s">
        <v>1171</v>
      </c>
      <c r="B98">
        <v>67978</v>
      </c>
      <c r="C98" t="s">
        <v>289</v>
      </c>
      <c r="D98" t="s">
        <v>635</v>
      </c>
      <c r="E98" t="s">
        <v>930</v>
      </c>
      <c r="G98">
        <v>6</v>
      </c>
      <c r="H98" s="3"/>
    </row>
    <row r="99" spans="1:8" ht="15.75" x14ac:dyDescent="0.25">
      <c r="A99" s="1" t="s">
        <v>1171</v>
      </c>
      <c r="B99">
        <v>70056</v>
      </c>
      <c r="C99" t="s">
        <v>290</v>
      </c>
      <c r="D99" t="s">
        <v>636</v>
      </c>
      <c r="E99" t="s">
        <v>931</v>
      </c>
      <c r="G99">
        <v>7</v>
      </c>
      <c r="H99" s="3"/>
    </row>
    <row r="100" spans="1:8" ht="15.75" x14ac:dyDescent="0.25">
      <c r="A100" s="1" t="s">
        <v>1171</v>
      </c>
      <c r="B100">
        <v>70448</v>
      </c>
      <c r="C100" t="s">
        <v>291</v>
      </c>
      <c r="D100" t="s">
        <v>637</v>
      </c>
      <c r="E100" t="s">
        <v>932</v>
      </c>
      <c r="G100">
        <v>5</v>
      </c>
      <c r="H100" s="3"/>
    </row>
    <row r="101" spans="1:8" ht="15.75" x14ac:dyDescent="0.25">
      <c r="A101" s="1" t="s">
        <v>1171</v>
      </c>
      <c r="B101">
        <v>70505</v>
      </c>
      <c r="C101" t="s">
        <v>292</v>
      </c>
      <c r="D101" t="s">
        <v>638</v>
      </c>
      <c r="E101" t="s">
        <v>933</v>
      </c>
      <c r="G101">
        <v>9</v>
      </c>
      <c r="H101" s="3"/>
    </row>
    <row r="102" spans="1:8" ht="15.75" x14ac:dyDescent="0.25">
      <c r="A102" s="1" t="s">
        <v>1171</v>
      </c>
      <c r="B102">
        <v>72423</v>
      </c>
      <c r="C102" t="s">
        <v>293</v>
      </c>
      <c r="D102" t="s">
        <v>639</v>
      </c>
      <c r="E102" t="s">
        <v>934</v>
      </c>
      <c r="G102">
        <v>8</v>
      </c>
      <c r="H102" s="3"/>
    </row>
    <row r="103" spans="1:8" ht="15.75" x14ac:dyDescent="0.25">
      <c r="A103" s="1" t="s">
        <v>1171</v>
      </c>
      <c r="B103">
        <v>72432</v>
      </c>
      <c r="C103" t="s">
        <v>294</v>
      </c>
      <c r="D103" t="s">
        <v>640</v>
      </c>
      <c r="E103" t="s">
        <v>935</v>
      </c>
      <c r="G103">
        <v>8</v>
      </c>
      <c r="H103" s="3"/>
    </row>
    <row r="104" spans="1:8" ht="15.75" x14ac:dyDescent="0.25">
      <c r="A104" s="1" t="s">
        <v>1171</v>
      </c>
      <c r="B104">
        <v>73355</v>
      </c>
      <c r="C104" t="s">
        <v>295</v>
      </c>
      <c r="D104" t="s">
        <v>641</v>
      </c>
      <c r="E104" t="s">
        <v>936</v>
      </c>
      <c r="G104">
        <v>7</v>
      </c>
      <c r="H104" s="3"/>
    </row>
    <row r="105" spans="1:8" ht="15.75" x14ac:dyDescent="0.25">
      <c r="A105" s="1" t="s">
        <v>1171</v>
      </c>
      <c r="B105">
        <v>73393</v>
      </c>
      <c r="C105" t="s">
        <v>296</v>
      </c>
      <c r="D105" t="s">
        <v>642</v>
      </c>
      <c r="E105" t="s">
        <v>937</v>
      </c>
      <c r="G105">
        <v>5</v>
      </c>
      <c r="H105" s="3"/>
    </row>
    <row r="106" spans="1:8" ht="15.75" x14ac:dyDescent="0.25">
      <c r="A106" s="1" t="s">
        <v>1171</v>
      </c>
      <c r="B106">
        <v>73395</v>
      </c>
      <c r="C106" t="s">
        <v>297</v>
      </c>
      <c r="D106" t="s">
        <v>643</v>
      </c>
      <c r="E106" t="s">
        <v>938</v>
      </c>
      <c r="G106">
        <v>4</v>
      </c>
      <c r="H106" s="3"/>
    </row>
    <row r="107" spans="1:8" ht="15.75" x14ac:dyDescent="0.25">
      <c r="A107" s="1" t="s">
        <v>1171</v>
      </c>
      <c r="B107">
        <v>73923</v>
      </c>
      <c r="C107" t="s">
        <v>298</v>
      </c>
      <c r="D107" t="s">
        <v>644</v>
      </c>
      <c r="E107" t="s">
        <v>939</v>
      </c>
      <c r="G107">
        <v>5</v>
      </c>
      <c r="H107" s="3"/>
    </row>
    <row r="108" spans="1:8" ht="15.75" x14ac:dyDescent="0.25">
      <c r="A108" s="1" t="s">
        <v>1171</v>
      </c>
      <c r="B108">
        <v>74297</v>
      </c>
      <c r="C108" t="s">
        <v>299</v>
      </c>
      <c r="D108" t="s">
        <v>645</v>
      </c>
      <c r="E108" t="s">
        <v>940</v>
      </c>
      <c r="G108">
        <v>7</v>
      </c>
      <c r="H108" s="3"/>
    </row>
    <row r="109" spans="1:8" ht="15.75" x14ac:dyDescent="0.25">
      <c r="A109" s="1" t="s">
        <v>183</v>
      </c>
      <c r="B109">
        <v>4639</v>
      </c>
      <c r="C109" t="s">
        <v>300</v>
      </c>
      <c r="D109" t="s">
        <v>646</v>
      </c>
      <c r="E109" t="s">
        <v>941</v>
      </c>
      <c r="G109">
        <v>10</v>
      </c>
      <c r="H109" s="3"/>
    </row>
    <row r="110" spans="1:8" ht="15.75" x14ac:dyDescent="0.25">
      <c r="A110" s="1" t="s">
        <v>183</v>
      </c>
      <c r="B110">
        <v>60720</v>
      </c>
      <c r="C110" t="s">
        <v>301</v>
      </c>
      <c r="D110" t="s">
        <v>647</v>
      </c>
      <c r="E110" t="s">
        <v>942</v>
      </c>
      <c r="G110">
        <v>10</v>
      </c>
      <c r="H110" s="3"/>
    </row>
    <row r="111" spans="1:8" ht="15.75" x14ac:dyDescent="0.25">
      <c r="A111" s="1" t="s">
        <v>183</v>
      </c>
      <c r="B111">
        <v>66534</v>
      </c>
      <c r="C111" t="s">
        <v>302</v>
      </c>
      <c r="D111" t="s">
        <v>648</v>
      </c>
      <c r="E111" t="s">
        <v>943</v>
      </c>
      <c r="G111">
        <v>6</v>
      </c>
      <c r="H111" s="3"/>
    </row>
    <row r="112" spans="1:8" ht="15.75" x14ac:dyDescent="0.25">
      <c r="A112" s="1" t="s">
        <v>183</v>
      </c>
      <c r="B112">
        <v>72719</v>
      </c>
      <c r="C112" t="s">
        <v>303</v>
      </c>
      <c r="D112" t="s">
        <v>649</v>
      </c>
      <c r="E112" t="s">
        <v>944</v>
      </c>
      <c r="G112">
        <v>2</v>
      </c>
      <c r="H112" s="3"/>
    </row>
    <row r="113" spans="1:8" ht="15.75" x14ac:dyDescent="0.25">
      <c r="A113" s="1" t="s">
        <v>183</v>
      </c>
      <c r="B113">
        <v>74444</v>
      </c>
      <c r="C113" t="s">
        <v>304</v>
      </c>
      <c r="D113" t="s">
        <v>650</v>
      </c>
      <c r="E113" t="s">
        <v>945</v>
      </c>
      <c r="G113">
        <v>4</v>
      </c>
      <c r="H113" s="3"/>
    </row>
    <row r="114" spans="1:8" ht="15.75" x14ac:dyDescent="0.25">
      <c r="A114" s="1" t="s">
        <v>183</v>
      </c>
      <c r="B114">
        <v>39485</v>
      </c>
      <c r="C114" t="s">
        <v>305</v>
      </c>
      <c r="D114" t="s">
        <v>651</v>
      </c>
      <c r="E114" t="s">
        <v>946</v>
      </c>
      <c r="G114">
        <v>4</v>
      </c>
      <c r="H114" s="3"/>
    </row>
    <row r="115" spans="1:8" ht="15.75" x14ac:dyDescent="0.25">
      <c r="A115" s="1" t="s">
        <v>183</v>
      </c>
      <c r="B115">
        <v>56005</v>
      </c>
      <c r="C115" t="s">
        <v>306</v>
      </c>
      <c r="D115" t="s">
        <v>652</v>
      </c>
      <c r="E115" t="s">
        <v>947</v>
      </c>
      <c r="G115">
        <v>10</v>
      </c>
      <c r="H115" s="3"/>
    </row>
    <row r="116" spans="1:8" ht="15.75" x14ac:dyDescent="0.25">
      <c r="A116" s="1" t="s">
        <v>183</v>
      </c>
      <c r="B116">
        <v>56532</v>
      </c>
      <c r="C116" t="s">
        <v>307</v>
      </c>
      <c r="D116" t="s">
        <v>653</v>
      </c>
      <c r="E116" t="s">
        <v>948</v>
      </c>
      <c r="G116">
        <v>8</v>
      </c>
      <c r="H116" s="3"/>
    </row>
    <row r="117" spans="1:8" ht="15.75" x14ac:dyDescent="0.25">
      <c r="A117" s="1" t="s">
        <v>183</v>
      </c>
      <c r="B117">
        <v>57611</v>
      </c>
      <c r="C117" t="s">
        <v>308</v>
      </c>
      <c r="D117" t="s">
        <v>654</v>
      </c>
      <c r="E117" t="s">
        <v>949</v>
      </c>
      <c r="G117">
        <v>3</v>
      </c>
      <c r="H117" s="3"/>
    </row>
    <row r="118" spans="1:8" ht="15.75" x14ac:dyDescent="0.25">
      <c r="A118" s="1" t="s">
        <v>183</v>
      </c>
      <c r="B118">
        <v>59971</v>
      </c>
      <c r="C118" t="s">
        <v>309</v>
      </c>
      <c r="D118" t="s">
        <v>655</v>
      </c>
      <c r="E118" t="s">
        <v>950</v>
      </c>
      <c r="G118">
        <v>4</v>
      </c>
      <c r="H118" s="3"/>
    </row>
    <row r="119" spans="1:8" ht="15.75" x14ac:dyDescent="0.25">
      <c r="A119" s="1" t="s">
        <v>183</v>
      </c>
      <c r="B119">
        <v>63139</v>
      </c>
      <c r="C119" t="s">
        <v>310</v>
      </c>
      <c r="D119" t="s">
        <v>656</v>
      </c>
      <c r="E119" t="s">
        <v>951</v>
      </c>
      <c r="G119">
        <v>9</v>
      </c>
      <c r="H119" s="3"/>
    </row>
    <row r="120" spans="1:8" ht="15.75" x14ac:dyDescent="0.25">
      <c r="A120" s="1" t="s">
        <v>183</v>
      </c>
      <c r="B120">
        <v>63140</v>
      </c>
      <c r="C120" t="s">
        <v>311</v>
      </c>
      <c r="D120" t="s">
        <v>657</v>
      </c>
      <c r="E120" t="s">
        <v>952</v>
      </c>
      <c r="G120">
        <v>7</v>
      </c>
      <c r="H120" s="3"/>
    </row>
    <row r="121" spans="1:8" ht="15.75" x14ac:dyDescent="0.25">
      <c r="A121" s="1" t="s">
        <v>183</v>
      </c>
      <c r="B121">
        <v>63141</v>
      </c>
      <c r="C121" t="s">
        <v>312</v>
      </c>
      <c r="D121" t="s">
        <v>658</v>
      </c>
      <c r="E121" t="s">
        <v>953</v>
      </c>
      <c r="G121">
        <v>7</v>
      </c>
      <c r="H121" s="3"/>
    </row>
    <row r="122" spans="1:8" ht="15.75" x14ac:dyDescent="0.25">
      <c r="A122" s="1" t="s">
        <v>183</v>
      </c>
      <c r="B122">
        <v>63711</v>
      </c>
      <c r="C122" t="s">
        <v>313</v>
      </c>
      <c r="D122" t="s">
        <v>659</v>
      </c>
      <c r="E122" t="s">
        <v>954</v>
      </c>
      <c r="G122">
        <v>4</v>
      </c>
      <c r="H122" s="3"/>
    </row>
    <row r="123" spans="1:8" ht="15.75" x14ac:dyDescent="0.25">
      <c r="A123" s="1" t="s">
        <v>183</v>
      </c>
      <c r="B123">
        <v>70982</v>
      </c>
      <c r="C123" t="s">
        <v>314</v>
      </c>
      <c r="D123" t="s">
        <v>660</v>
      </c>
      <c r="E123" t="s">
        <v>955</v>
      </c>
      <c r="G123">
        <v>3</v>
      </c>
      <c r="H123" s="3"/>
    </row>
    <row r="124" spans="1:8" ht="15.75" x14ac:dyDescent="0.25">
      <c r="A124" s="1" t="s">
        <v>183</v>
      </c>
      <c r="B124">
        <v>71911</v>
      </c>
      <c r="C124" t="s">
        <v>315</v>
      </c>
      <c r="D124" t="s">
        <v>661</v>
      </c>
      <c r="E124" t="s">
        <v>956</v>
      </c>
      <c r="G124">
        <v>5</v>
      </c>
      <c r="H124" s="3"/>
    </row>
    <row r="125" spans="1:8" ht="15.75" x14ac:dyDescent="0.25">
      <c r="A125" s="1" t="s">
        <v>183</v>
      </c>
      <c r="B125">
        <v>72035</v>
      </c>
      <c r="C125" t="s">
        <v>316</v>
      </c>
      <c r="D125" t="s">
        <v>662</v>
      </c>
      <c r="E125" t="s">
        <v>957</v>
      </c>
      <c r="G125">
        <v>5</v>
      </c>
      <c r="H125" s="3"/>
    </row>
    <row r="126" spans="1:8" ht="15.75" x14ac:dyDescent="0.25">
      <c r="A126" s="1" t="s">
        <v>183</v>
      </c>
      <c r="B126">
        <v>72056</v>
      </c>
      <c r="C126" t="s">
        <v>317</v>
      </c>
      <c r="D126" t="s">
        <v>663</v>
      </c>
      <c r="E126" t="s">
        <v>958</v>
      </c>
      <c r="G126">
        <v>8</v>
      </c>
      <c r="H126" s="3"/>
    </row>
    <row r="127" spans="1:8" ht="15.75" x14ac:dyDescent="0.25">
      <c r="A127" s="1" t="s">
        <v>183</v>
      </c>
      <c r="B127">
        <v>72932</v>
      </c>
      <c r="C127" t="s">
        <v>318</v>
      </c>
      <c r="D127" t="s">
        <v>664</v>
      </c>
      <c r="E127" t="s">
        <v>959</v>
      </c>
      <c r="G127">
        <v>7</v>
      </c>
      <c r="H127" s="3"/>
    </row>
    <row r="128" spans="1:8" ht="15.75" x14ac:dyDescent="0.25">
      <c r="A128" s="1" t="s">
        <v>183</v>
      </c>
      <c r="B128">
        <v>74146</v>
      </c>
      <c r="C128" t="s">
        <v>319</v>
      </c>
      <c r="D128" t="s">
        <v>665</v>
      </c>
      <c r="E128" t="s">
        <v>960</v>
      </c>
      <c r="G128">
        <v>9</v>
      </c>
      <c r="H128" s="3"/>
    </row>
    <row r="129" spans="1:8" ht="15.75" x14ac:dyDescent="0.25">
      <c r="A129" s="1" t="s">
        <v>183</v>
      </c>
      <c r="B129">
        <v>74400</v>
      </c>
      <c r="C129" t="s">
        <v>299</v>
      </c>
      <c r="D129" t="s">
        <v>666</v>
      </c>
      <c r="E129" t="s">
        <v>961</v>
      </c>
      <c r="G129">
        <v>5</v>
      </c>
      <c r="H129" s="3"/>
    </row>
    <row r="130" spans="1:8" ht="15.75" x14ac:dyDescent="0.25">
      <c r="A130" s="1" t="s">
        <v>183</v>
      </c>
      <c r="B130">
        <v>74449</v>
      </c>
      <c r="C130" t="s">
        <v>320</v>
      </c>
      <c r="D130" t="s">
        <v>667</v>
      </c>
      <c r="E130" t="s">
        <v>962</v>
      </c>
      <c r="G130">
        <v>9</v>
      </c>
      <c r="H130" s="3"/>
    </row>
    <row r="131" spans="1:8" ht="15.75" x14ac:dyDescent="0.25">
      <c r="A131" s="1" t="s">
        <v>183</v>
      </c>
      <c r="B131">
        <v>74593</v>
      </c>
      <c r="C131" t="s">
        <v>321</v>
      </c>
      <c r="D131" t="s">
        <v>668</v>
      </c>
      <c r="E131" t="s">
        <v>963</v>
      </c>
      <c r="G131">
        <v>3</v>
      </c>
      <c r="H131" s="3"/>
    </row>
    <row r="132" spans="1:8" ht="15.75" x14ac:dyDescent="0.25">
      <c r="A132" s="1" t="s">
        <v>184</v>
      </c>
      <c r="B132">
        <v>9251</v>
      </c>
      <c r="C132" t="s">
        <v>249</v>
      </c>
      <c r="D132" t="s">
        <v>669</v>
      </c>
      <c r="E132" t="s">
        <v>964</v>
      </c>
      <c r="G132">
        <v>10</v>
      </c>
      <c r="H132" s="3"/>
    </row>
    <row r="133" spans="1:8" ht="15.75" x14ac:dyDescent="0.25">
      <c r="A133" s="1" t="s">
        <v>184</v>
      </c>
      <c r="B133">
        <v>46456</v>
      </c>
      <c r="C133" t="s">
        <v>296</v>
      </c>
      <c r="D133" t="s">
        <v>651</v>
      </c>
      <c r="E133" t="s">
        <v>965</v>
      </c>
      <c r="G133">
        <v>4</v>
      </c>
      <c r="H133" s="3"/>
    </row>
    <row r="134" spans="1:8" ht="15.75" x14ac:dyDescent="0.25">
      <c r="A134" s="1" t="s">
        <v>184</v>
      </c>
      <c r="B134">
        <v>46457</v>
      </c>
      <c r="C134" t="s">
        <v>297</v>
      </c>
      <c r="D134" t="s">
        <v>670</v>
      </c>
      <c r="E134" t="s">
        <v>966</v>
      </c>
      <c r="G134">
        <v>3</v>
      </c>
      <c r="H134" s="3"/>
    </row>
    <row r="135" spans="1:8" ht="15.75" x14ac:dyDescent="0.25">
      <c r="A135" s="1" t="s">
        <v>184</v>
      </c>
      <c r="B135">
        <v>68948</v>
      </c>
      <c r="C135" t="s">
        <v>298</v>
      </c>
      <c r="D135" t="s">
        <v>671</v>
      </c>
      <c r="E135" t="s">
        <v>967</v>
      </c>
      <c r="G135">
        <v>4</v>
      </c>
      <c r="H135" s="3"/>
    </row>
    <row r="136" spans="1:8" ht="15.75" x14ac:dyDescent="0.25">
      <c r="A136" s="1" t="s">
        <v>184</v>
      </c>
      <c r="B136">
        <v>71928</v>
      </c>
      <c r="C136" t="s">
        <v>322</v>
      </c>
      <c r="D136" t="s">
        <v>672</v>
      </c>
      <c r="E136" t="s">
        <v>968</v>
      </c>
      <c r="G136">
        <v>8</v>
      </c>
      <c r="H136" s="3"/>
    </row>
    <row r="137" spans="1:8" ht="15.75" x14ac:dyDescent="0.25">
      <c r="A137" s="1" t="s">
        <v>184</v>
      </c>
      <c r="B137">
        <v>72558</v>
      </c>
      <c r="C137" t="s">
        <v>295</v>
      </c>
      <c r="D137" t="s">
        <v>673</v>
      </c>
      <c r="E137" t="s">
        <v>969</v>
      </c>
      <c r="G137">
        <v>6</v>
      </c>
      <c r="H137" s="3"/>
    </row>
    <row r="138" spans="1:8" ht="15.75" x14ac:dyDescent="0.25">
      <c r="A138" s="1" t="s">
        <v>184</v>
      </c>
      <c r="B138">
        <v>74206</v>
      </c>
      <c r="C138" t="s">
        <v>301</v>
      </c>
      <c r="D138" t="s">
        <v>674</v>
      </c>
      <c r="E138" t="s">
        <v>970</v>
      </c>
      <c r="G138">
        <v>8</v>
      </c>
      <c r="H138" s="3"/>
    </row>
    <row r="139" spans="1:8" ht="15.75" x14ac:dyDescent="0.25">
      <c r="A139" s="1" t="s">
        <v>184</v>
      </c>
      <c r="B139">
        <v>41647</v>
      </c>
      <c r="C139" t="s">
        <v>302</v>
      </c>
      <c r="D139" t="s">
        <v>675</v>
      </c>
      <c r="E139" t="s">
        <v>971</v>
      </c>
      <c r="G139">
        <v>7</v>
      </c>
      <c r="H139" s="3"/>
    </row>
    <row r="140" spans="1:8" ht="15.75" x14ac:dyDescent="0.25">
      <c r="A140" s="1" t="s">
        <v>184</v>
      </c>
      <c r="B140">
        <v>41648</v>
      </c>
      <c r="C140" t="s">
        <v>303</v>
      </c>
      <c r="D140" t="s">
        <v>676</v>
      </c>
      <c r="E140" t="s">
        <v>972</v>
      </c>
      <c r="G140">
        <v>10</v>
      </c>
      <c r="H140" s="3"/>
    </row>
    <row r="141" spans="1:8" ht="15.75" x14ac:dyDescent="0.25">
      <c r="A141" s="1" t="s">
        <v>184</v>
      </c>
      <c r="B141">
        <v>44959</v>
      </c>
      <c r="C141" t="s">
        <v>304</v>
      </c>
      <c r="D141" t="s">
        <v>677</v>
      </c>
      <c r="E141" t="s">
        <v>973</v>
      </c>
      <c r="G141">
        <v>6</v>
      </c>
      <c r="H141" s="3"/>
    </row>
    <row r="142" spans="1:8" ht="15.75" x14ac:dyDescent="0.25">
      <c r="A142" s="1" t="s">
        <v>184</v>
      </c>
      <c r="B142">
        <v>46455</v>
      </c>
      <c r="C142" t="s">
        <v>305</v>
      </c>
      <c r="D142" t="s">
        <v>678</v>
      </c>
      <c r="E142" t="s">
        <v>974</v>
      </c>
      <c r="G142">
        <v>4</v>
      </c>
      <c r="H142" s="3"/>
    </row>
    <row r="143" spans="1:8" ht="15.75" x14ac:dyDescent="0.25">
      <c r="A143" s="1" t="s">
        <v>184</v>
      </c>
      <c r="B143">
        <v>46458</v>
      </c>
      <c r="C143" t="s">
        <v>306</v>
      </c>
      <c r="D143" t="s">
        <v>679</v>
      </c>
      <c r="E143" t="s">
        <v>975</v>
      </c>
      <c r="G143">
        <v>4</v>
      </c>
      <c r="H143" s="3"/>
    </row>
    <row r="144" spans="1:8" ht="15.75" x14ac:dyDescent="0.25">
      <c r="A144" s="1" t="s">
        <v>184</v>
      </c>
      <c r="B144">
        <v>60735</v>
      </c>
      <c r="C144" t="s">
        <v>307</v>
      </c>
      <c r="D144" t="s">
        <v>680</v>
      </c>
      <c r="E144" t="s">
        <v>976</v>
      </c>
      <c r="G144">
        <v>5</v>
      </c>
      <c r="H144" s="3"/>
    </row>
    <row r="145" spans="1:8" ht="15.75" x14ac:dyDescent="0.25">
      <c r="A145" s="1" t="s">
        <v>184</v>
      </c>
      <c r="B145">
        <v>61572</v>
      </c>
      <c r="C145" t="s">
        <v>308</v>
      </c>
      <c r="D145" t="s">
        <v>681</v>
      </c>
      <c r="E145" t="s">
        <v>977</v>
      </c>
      <c r="G145">
        <v>4</v>
      </c>
      <c r="H145" s="3"/>
    </row>
    <row r="146" spans="1:8" ht="15.75" x14ac:dyDescent="0.25">
      <c r="A146" s="1" t="s">
        <v>184</v>
      </c>
      <c r="B146">
        <v>65046</v>
      </c>
      <c r="C146" t="s">
        <v>309</v>
      </c>
      <c r="D146" t="s">
        <v>682</v>
      </c>
      <c r="E146" t="s">
        <v>978</v>
      </c>
      <c r="G146">
        <v>4</v>
      </c>
      <c r="H146" s="3"/>
    </row>
    <row r="147" spans="1:8" ht="15.75" x14ac:dyDescent="0.25">
      <c r="A147" s="1" t="s">
        <v>184</v>
      </c>
      <c r="B147">
        <v>67175</v>
      </c>
      <c r="C147" t="s">
        <v>310</v>
      </c>
      <c r="D147" t="s">
        <v>683</v>
      </c>
      <c r="E147" t="s">
        <v>979</v>
      </c>
      <c r="G147">
        <v>10</v>
      </c>
      <c r="H147" s="3"/>
    </row>
    <row r="148" spans="1:8" ht="15.75" x14ac:dyDescent="0.25">
      <c r="A148" s="1" t="s">
        <v>184</v>
      </c>
      <c r="B148">
        <v>70996</v>
      </c>
      <c r="C148" t="s">
        <v>311</v>
      </c>
      <c r="D148" t="s">
        <v>684</v>
      </c>
      <c r="E148" t="s">
        <v>980</v>
      </c>
      <c r="G148">
        <v>4</v>
      </c>
      <c r="H148" s="3"/>
    </row>
    <row r="149" spans="1:8" ht="15.75" x14ac:dyDescent="0.25">
      <c r="A149" s="1" t="s">
        <v>184</v>
      </c>
      <c r="B149">
        <v>71838</v>
      </c>
      <c r="C149" t="s">
        <v>312</v>
      </c>
      <c r="D149" t="s">
        <v>685</v>
      </c>
      <c r="E149" t="s">
        <v>981</v>
      </c>
      <c r="G149">
        <v>4</v>
      </c>
      <c r="H149" s="3"/>
    </row>
    <row r="150" spans="1:8" ht="15.75" x14ac:dyDescent="0.25">
      <c r="A150" s="1" t="s">
        <v>184</v>
      </c>
      <c r="B150">
        <v>71927</v>
      </c>
      <c r="C150" t="s">
        <v>313</v>
      </c>
      <c r="D150" t="s">
        <v>686</v>
      </c>
      <c r="E150" t="s">
        <v>982</v>
      </c>
      <c r="G150">
        <v>10</v>
      </c>
      <c r="H150" s="3"/>
    </row>
    <row r="151" spans="1:8" ht="15.75" x14ac:dyDescent="0.25">
      <c r="A151" s="1" t="s">
        <v>184</v>
      </c>
      <c r="B151">
        <v>71929</v>
      </c>
      <c r="C151" t="s">
        <v>314</v>
      </c>
      <c r="D151" t="s">
        <v>687</v>
      </c>
      <c r="E151" t="s">
        <v>983</v>
      </c>
      <c r="G151">
        <v>8</v>
      </c>
      <c r="H151" s="3"/>
    </row>
    <row r="152" spans="1:8" ht="15.75" x14ac:dyDescent="0.25">
      <c r="A152" s="1" t="s">
        <v>184</v>
      </c>
      <c r="B152">
        <v>72774</v>
      </c>
      <c r="C152" t="s">
        <v>323</v>
      </c>
      <c r="D152" t="s">
        <v>688</v>
      </c>
      <c r="E152" t="s">
        <v>984</v>
      </c>
      <c r="G152">
        <v>4</v>
      </c>
      <c r="H152" s="3"/>
    </row>
    <row r="153" spans="1:8" ht="15.75" x14ac:dyDescent="0.25">
      <c r="A153" s="1" t="s">
        <v>184</v>
      </c>
      <c r="B153">
        <v>74286</v>
      </c>
      <c r="C153" t="s">
        <v>324</v>
      </c>
      <c r="D153" t="s">
        <v>689</v>
      </c>
      <c r="E153" t="s">
        <v>985</v>
      </c>
      <c r="G153">
        <v>5</v>
      </c>
      <c r="H153" s="3"/>
    </row>
    <row r="154" spans="1:8" ht="15.75" x14ac:dyDescent="0.25">
      <c r="A154" s="1" t="s">
        <v>185</v>
      </c>
      <c r="B154">
        <v>20485</v>
      </c>
      <c r="C154" t="s">
        <v>325</v>
      </c>
      <c r="D154" t="s">
        <v>690</v>
      </c>
      <c r="E154" t="s">
        <v>986</v>
      </c>
      <c r="G154">
        <v>8</v>
      </c>
      <c r="H154" s="3"/>
    </row>
    <row r="155" spans="1:8" ht="15.75" x14ac:dyDescent="0.25">
      <c r="A155" s="1" t="s">
        <v>185</v>
      </c>
      <c r="B155">
        <v>47296</v>
      </c>
      <c r="C155" t="s">
        <v>326</v>
      </c>
      <c r="D155" t="s">
        <v>691</v>
      </c>
      <c r="E155" t="s">
        <v>987</v>
      </c>
      <c r="G155">
        <v>10</v>
      </c>
      <c r="H155" s="3"/>
    </row>
    <row r="156" spans="1:8" ht="15.75" x14ac:dyDescent="0.25">
      <c r="A156" s="1" t="s">
        <v>185</v>
      </c>
      <c r="B156">
        <v>65785</v>
      </c>
      <c r="C156" t="s">
        <v>327</v>
      </c>
      <c r="D156" t="s">
        <v>692</v>
      </c>
      <c r="E156" t="s">
        <v>988</v>
      </c>
      <c r="G156">
        <v>10</v>
      </c>
      <c r="H156" s="3"/>
    </row>
    <row r="157" spans="1:8" ht="15.75" x14ac:dyDescent="0.25">
      <c r="A157" s="1" t="s">
        <v>185</v>
      </c>
      <c r="B157">
        <v>68622</v>
      </c>
      <c r="C157" t="s">
        <v>328</v>
      </c>
      <c r="D157" t="s">
        <v>693</v>
      </c>
      <c r="E157" t="s">
        <v>989</v>
      </c>
      <c r="G157">
        <v>9</v>
      </c>
      <c r="H157" s="3"/>
    </row>
    <row r="158" spans="1:8" ht="15.75" x14ac:dyDescent="0.25">
      <c r="A158" s="1" t="s">
        <v>185</v>
      </c>
      <c r="B158">
        <v>69237</v>
      </c>
      <c r="C158" t="s">
        <v>329</v>
      </c>
      <c r="D158" t="s">
        <v>694</v>
      </c>
      <c r="E158" t="s">
        <v>990</v>
      </c>
      <c r="G158">
        <v>4</v>
      </c>
      <c r="H158" s="3"/>
    </row>
    <row r="159" spans="1:8" ht="15.75" x14ac:dyDescent="0.25">
      <c r="A159" s="1" t="s">
        <v>185</v>
      </c>
      <c r="B159">
        <v>69569</v>
      </c>
      <c r="C159" t="s">
        <v>330</v>
      </c>
      <c r="D159" t="s">
        <v>695</v>
      </c>
      <c r="E159" t="s">
        <v>991</v>
      </c>
      <c r="G159">
        <v>7</v>
      </c>
      <c r="H159" s="3"/>
    </row>
    <row r="160" spans="1:8" ht="15.75" x14ac:dyDescent="0.25">
      <c r="A160" s="1" t="s">
        <v>185</v>
      </c>
      <c r="B160">
        <v>70467</v>
      </c>
      <c r="C160" t="s">
        <v>331</v>
      </c>
      <c r="D160" t="s">
        <v>696</v>
      </c>
      <c r="E160" t="s">
        <v>992</v>
      </c>
      <c r="G160">
        <v>9</v>
      </c>
      <c r="H160" s="3"/>
    </row>
    <row r="161" spans="1:8" ht="15.75" x14ac:dyDescent="0.25">
      <c r="A161" s="1" t="s">
        <v>185</v>
      </c>
      <c r="B161">
        <v>71202</v>
      </c>
      <c r="C161" t="s">
        <v>332</v>
      </c>
      <c r="D161" t="s">
        <v>697</v>
      </c>
      <c r="E161" t="s">
        <v>993</v>
      </c>
      <c r="G161">
        <v>10</v>
      </c>
      <c r="H161" s="3"/>
    </row>
    <row r="162" spans="1:8" ht="15.75" x14ac:dyDescent="0.25">
      <c r="A162" s="1" t="s">
        <v>185</v>
      </c>
      <c r="B162">
        <v>71434</v>
      </c>
      <c r="C162" t="s">
        <v>333</v>
      </c>
      <c r="D162" t="s">
        <v>698</v>
      </c>
      <c r="E162" t="s">
        <v>994</v>
      </c>
      <c r="G162">
        <v>7</v>
      </c>
      <c r="H162" s="3"/>
    </row>
    <row r="163" spans="1:8" ht="15.75" x14ac:dyDescent="0.25">
      <c r="A163" s="1" t="s">
        <v>185</v>
      </c>
      <c r="B163">
        <v>73912</v>
      </c>
      <c r="C163" t="s">
        <v>334</v>
      </c>
      <c r="D163" t="s">
        <v>699</v>
      </c>
      <c r="E163" t="s">
        <v>995</v>
      </c>
      <c r="G163">
        <v>7</v>
      </c>
      <c r="H163" s="3"/>
    </row>
    <row r="164" spans="1:8" ht="15.75" x14ac:dyDescent="0.25">
      <c r="A164" s="1" t="s">
        <v>185</v>
      </c>
      <c r="B164">
        <v>74458</v>
      </c>
      <c r="C164" t="s">
        <v>335</v>
      </c>
      <c r="D164" t="s">
        <v>700</v>
      </c>
      <c r="E164" t="s">
        <v>996</v>
      </c>
      <c r="G164">
        <v>7</v>
      </c>
      <c r="H164" s="3"/>
    </row>
    <row r="165" spans="1:8" ht="15.75" x14ac:dyDescent="0.25">
      <c r="A165" s="1" t="s">
        <v>185</v>
      </c>
      <c r="B165">
        <v>203</v>
      </c>
      <c r="C165" t="s">
        <v>336</v>
      </c>
      <c r="D165" t="s">
        <v>701</v>
      </c>
      <c r="E165" t="s">
        <v>997</v>
      </c>
      <c r="G165">
        <v>10</v>
      </c>
      <c r="H165" s="3"/>
    </row>
    <row r="166" spans="1:8" ht="15.75" x14ac:dyDescent="0.25">
      <c r="A166" s="1" t="s">
        <v>185</v>
      </c>
      <c r="B166">
        <v>37547</v>
      </c>
      <c r="C166" t="s">
        <v>337</v>
      </c>
      <c r="D166" t="s">
        <v>702</v>
      </c>
      <c r="E166" t="s">
        <v>998</v>
      </c>
      <c r="G166">
        <v>6</v>
      </c>
      <c r="H166" s="3"/>
    </row>
    <row r="167" spans="1:8" ht="15.75" x14ac:dyDescent="0.25">
      <c r="A167" s="1" t="s">
        <v>185</v>
      </c>
      <c r="B167">
        <v>55189</v>
      </c>
      <c r="C167" t="s">
        <v>338</v>
      </c>
      <c r="D167" t="s">
        <v>703</v>
      </c>
      <c r="E167" t="s">
        <v>999</v>
      </c>
      <c r="G167">
        <v>4</v>
      </c>
      <c r="H167" s="3"/>
    </row>
    <row r="168" spans="1:8" ht="15.75" x14ac:dyDescent="0.25">
      <c r="A168" s="1" t="s">
        <v>185</v>
      </c>
      <c r="B168">
        <v>59535</v>
      </c>
      <c r="C168" t="s">
        <v>339</v>
      </c>
      <c r="D168" t="s">
        <v>704</v>
      </c>
      <c r="E168" t="s">
        <v>1000</v>
      </c>
      <c r="G168">
        <v>8</v>
      </c>
      <c r="H168" s="3"/>
    </row>
    <row r="169" spans="1:8" ht="15.75" x14ac:dyDescent="0.25">
      <c r="A169" s="1" t="s">
        <v>185</v>
      </c>
      <c r="B169">
        <v>61707</v>
      </c>
      <c r="C169" t="s">
        <v>340</v>
      </c>
      <c r="D169" t="s">
        <v>705</v>
      </c>
      <c r="E169" t="s">
        <v>1001</v>
      </c>
      <c r="G169">
        <v>2</v>
      </c>
      <c r="H169" s="3"/>
    </row>
    <row r="170" spans="1:8" ht="15.75" x14ac:dyDescent="0.25">
      <c r="A170" s="1" t="s">
        <v>185</v>
      </c>
      <c r="B170">
        <v>62309</v>
      </c>
      <c r="C170" t="s">
        <v>341</v>
      </c>
      <c r="D170" t="s">
        <v>706</v>
      </c>
      <c r="E170" t="s">
        <v>1002</v>
      </c>
      <c r="G170">
        <v>6</v>
      </c>
      <c r="H170" s="3"/>
    </row>
    <row r="171" spans="1:8" ht="15.75" x14ac:dyDescent="0.25">
      <c r="A171" s="1" t="s">
        <v>185</v>
      </c>
      <c r="B171">
        <v>65135</v>
      </c>
      <c r="C171" t="s">
        <v>342</v>
      </c>
      <c r="D171" t="s">
        <v>707</v>
      </c>
      <c r="E171" t="s">
        <v>1003</v>
      </c>
      <c r="G171">
        <v>6</v>
      </c>
      <c r="H171" s="3"/>
    </row>
    <row r="172" spans="1:8" ht="15.75" x14ac:dyDescent="0.25">
      <c r="A172" s="1" t="s">
        <v>185</v>
      </c>
      <c r="B172">
        <v>68064</v>
      </c>
      <c r="C172" t="s">
        <v>343</v>
      </c>
      <c r="D172" t="s">
        <v>708</v>
      </c>
      <c r="E172" t="s">
        <v>1004</v>
      </c>
      <c r="G172">
        <v>10</v>
      </c>
      <c r="H172" s="3"/>
    </row>
    <row r="173" spans="1:8" ht="15.75" x14ac:dyDescent="0.25">
      <c r="A173" s="1" t="s">
        <v>185</v>
      </c>
      <c r="B173">
        <v>68236</v>
      </c>
      <c r="C173" t="s">
        <v>344</v>
      </c>
      <c r="D173" t="s">
        <v>709</v>
      </c>
      <c r="E173" t="s">
        <v>1005</v>
      </c>
      <c r="G173">
        <v>10</v>
      </c>
      <c r="H173" s="3"/>
    </row>
    <row r="174" spans="1:8" ht="15.75" x14ac:dyDescent="0.25">
      <c r="A174" s="1" t="s">
        <v>185</v>
      </c>
      <c r="B174">
        <v>68395</v>
      </c>
      <c r="C174" t="s">
        <v>345</v>
      </c>
      <c r="D174" t="s">
        <v>710</v>
      </c>
      <c r="E174" t="s">
        <v>1006</v>
      </c>
      <c r="G174">
        <v>10</v>
      </c>
      <c r="H174" s="3"/>
    </row>
    <row r="175" spans="1:8" ht="15.75" x14ac:dyDescent="0.25">
      <c r="A175" s="1" t="s">
        <v>185</v>
      </c>
      <c r="B175">
        <v>71353</v>
      </c>
      <c r="C175" t="s">
        <v>346</v>
      </c>
      <c r="D175" t="s">
        <v>711</v>
      </c>
      <c r="E175" t="s">
        <v>1007</v>
      </c>
      <c r="G175">
        <v>8</v>
      </c>
      <c r="H175" s="3"/>
    </row>
    <row r="176" spans="1:8" ht="15.75" x14ac:dyDescent="0.25">
      <c r="A176" s="1" t="s">
        <v>185</v>
      </c>
      <c r="B176">
        <v>74481</v>
      </c>
      <c r="C176" t="s">
        <v>347</v>
      </c>
      <c r="D176" t="s">
        <v>712</v>
      </c>
      <c r="E176" t="s">
        <v>1008</v>
      </c>
      <c r="G176">
        <v>7</v>
      </c>
      <c r="H176" s="3"/>
    </row>
    <row r="177" spans="1:8" ht="15.75" x14ac:dyDescent="0.25">
      <c r="A177" s="1" t="s">
        <v>185</v>
      </c>
      <c r="B177">
        <v>74576</v>
      </c>
      <c r="C177" t="s">
        <v>348</v>
      </c>
      <c r="D177" t="s">
        <v>713</v>
      </c>
      <c r="E177" t="s">
        <v>1009</v>
      </c>
      <c r="G177">
        <v>5</v>
      </c>
      <c r="H177" s="3"/>
    </row>
    <row r="178" spans="1:8" ht="15.75" x14ac:dyDescent="0.25">
      <c r="A178" s="1" t="s">
        <v>186</v>
      </c>
      <c r="B178">
        <v>1840</v>
      </c>
      <c r="C178" t="s">
        <v>349</v>
      </c>
      <c r="D178" t="s">
        <v>714</v>
      </c>
      <c r="E178" t="s">
        <v>1010</v>
      </c>
      <c r="G178">
        <v>7</v>
      </c>
      <c r="H178" s="3"/>
    </row>
    <row r="179" spans="1:8" ht="15.75" x14ac:dyDescent="0.25">
      <c r="A179" s="1" t="s">
        <v>186</v>
      </c>
      <c r="B179">
        <v>46953</v>
      </c>
      <c r="C179" t="s">
        <v>350</v>
      </c>
      <c r="D179" t="s">
        <v>715</v>
      </c>
      <c r="E179" t="s">
        <v>1011</v>
      </c>
      <c r="G179">
        <v>7</v>
      </c>
      <c r="H179" s="3"/>
    </row>
    <row r="180" spans="1:8" ht="15.75" x14ac:dyDescent="0.25">
      <c r="A180" s="1" t="s">
        <v>186</v>
      </c>
      <c r="B180">
        <v>55753</v>
      </c>
      <c r="C180" t="s">
        <v>351</v>
      </c>
      <c r="D180" t="s">
        <v>716</v>
      </c>
      <c r="E180" t="s">
        <v>1012</v>
      </c>
      <c r="G180">
        <v>7</v>
      </c>
      <c r="H180" s="3"/>
    </row>
    <row r="181" spans="1:8" ht="15.75" x14ac:dyDescent="0.25">
      <c r="A181" s="1" t="s">
        <v>186</v>
      </c>
      <c r="B181">
        <v>61183</v>
      </c>
      <c r="C181" t="s">
        <v>352</v>
      </c>
      <c r="D181" t="s">
        <v>717</v>
      </c>
      <c r="E181" t="s">
        <v>1013</v>
      </c>
      <c r="G181">
        <v>9</v>
      </c>
      <c r="H181" s="3"/>
    </row>
    <row r="182" spans="1:8" ht="15.75" x14ac:dyDescent="0.25">
      <c r="A182" s="1" t="s">
        <v>186</v>
      </c>
      <c r="B182">
        <v>70607</v>
      </c>
      <c r="C182" t="s">
        <v>353</v>
      </c>
      <c r="D182" t="s">
        <v>718</v>
      </c>
      <c r="E182" t="s">
        <v>1014</v>
      </c>
      <c r="G182">
        <v>8</v>
      </c>
      <c r="H182" s="3"/>
    </row>
    <row r="183" spans="1:8" ht="15.75" x14ac:dyDescent="0.25">
      <c r="A183" s="1" t="s">
        <v>186</v>
      </c>
      <c r="B183">
        <v>70609</v>
      </c>
      <c r="C183" t="s">
        <v>354</v>
      </c>
      <c r="D183" t="s">
        <v>719</v>
      </c>
      <c r="E183" t="s">
        <v>1015</v>
      </c>
      <c r="G183">
        <v>5</v>
      </c>
      <c r="H183" s="3"/>
    </row>
    <row r="184" spans="1:8" ht="15.75" x14ac:dyDescent="0.25">
      <c r="A184" s="1" t="s">
        <v>186</v>
      </c>
      <c r="B184">
        <v>71991</v>
      </c>
      <c r="C184" t="s">
        <v>355</v>
      </c>
      <c r="D184" t="s">
        <v>720</v>
      </c>
      <c r="E184" t="s">
        <v>1016</v>
      </c>
      <c r="G184">
        <v>7</v>
      </c>
      <c r="H184" s="3"/>
    </row>
    <row r="185" spans="1:8" ht="15.75" x14ac:dyDescent="0.25">
      <c r="A185" s="1" t="s">
        <v>186</v>
      </c>
      <c r="B185">
        <v>72504</v>
      </c>
      <c r="C185" t="s">
        <v>356</v>
      </c>
      <c r="D185" t="s">
        <v>721</v>
      </c>
      <c r="E185" t="s">
        <v>1017</v>
      </c>
      <c r="G185">
        <v>7</v>
      </c>
      <c r="H185" s="3"/>
    </row>
    <row r="186" spans="1:8" ht="15.75" x14ac:dyDescent="0.25">
      <c r="A186" s="1" t="s">
        <v>186</v>
      </c>
      <c r="B186">
        <v>72528</v>
      </c>
      <c r="C186" t="s">
        <v>357</v>
      </c>
      <c r="D186" t="s">
        <v>722</v>
      </c>
      <c r="E186" t="s">
        <v>1018</v>
      </c>
      <c r="G186">
        <v>10</v>
      </c>
      <c r="H186" s="3"/>
    </row>
    <row r="187" spans="1:8" ht="15.75" x14ac:dyDescent="0.25">
      <c r="A187" s="1" t="s">
        <v>186</v>
      </c>
      <c r="B187">
        <v>25784</v>
      </c>
      <c r="C187" t="s">
        <v>358</v>
      </c>
      <c r="D187" t="s">
        <v>723</v>
      </c>
      <c r="E187" t="s">
        <v>1019</v>
      </c>
      <c r="G187">
        <v>10</v>
      </c>
      <c r="H187" s="3"/>
    </row>
    <row r="188" spans="1:8" ht="15.75" x14ac:dyDescent="0.25">
      <c r="A188" s="1" t="s">
        <v>186</v>
      </c>
      <c r="B188">
        <v>31135</v>
      </c>
      <c r="C188" t="s">
        <v>359</v>
      </c>
      <c r="D188" t="s">
        <v>724</v>
      </c>
      <c r="E188" t="s">
        <v>1020</v>
      </c>
      <c r="G188">
        <v>9</v>
      </c>
      <c r="H188" s="3"/>
    </row>
    <row r="189" spans="1:8" ht="15.75" x14ac:dyDescent="0.25">
      <c r="A189" s="1" t="s">
        <v>186</v>
      </c>
      <c r="B189">
        <v>31587</v>
      </c>
      <c r="C189" t="s">
        <v>360</v>
      </c>
      <c r="D189" t="s">
        <v>725</v>
      </c>
      <c r="E189" t="s">
        <v>1021</v>
      </c>
      <c r="G189">
        <v>10</v>
      </c>
      <c r="H189" s="3"/>
    </row>
    <row r="190" spans="1:8" ht="15.75" x14ac:dyDescent="0.25">
      <c r="A190" s="1" t="s">
        <v>186</v>
      </c>
      <c r="B190">
        <v>40305</v>
      </c>
      <c r="C190" t="s">
        <v>361</v>
      </c>
      <c r="D190" t="s">
        <v>726</v>
      </c>
      <c r="E190" t="s">
        <v>1022</v>
      </c>
      <c r="G190">
        <v>10</v>
      </c>
      <c r="H190" s="3"/>
    </row>
    <row r="191" spans="1:8" ht="15.75" x14ac:dyDescent="0.25">
      <c r="A191" s="1" t="s">
        <v>186</v>
      </c>
      <c r="B191">
        <v>53732</v>
      </c>
      <c r="C191" t="s">
        <v>362</v>
      </c>
      <c r="D191" t="s">
        <v>727</v>
      </c>
      <c r="E191" t="s">
        <v>1023</v>
      </c>
      <c r="G191">
        <v>8</v>
      </c>
      <c r="H191" s="3"/>
    </row>
    <row r="192" spans="1:8" ht="15.75" x14ac:dyDescent="0.25">
      <c r="A192" s="1" t="s">
        <v>186</v>
      </c>
      <c r="B192">
        <v>58085</v>
      </c>
      <c r="C192" t="s">
        <v>363</v>
      </c>
      <c r="D192" t="s">
        <v>728</v>
      </c>
      <c r="E192" t="s">
        <v>1024</v>
      </c>
      <c r="G192">
        <v>10</v>
      </c>
      <c r="H192" s="3"/>
    </row>
    <row r="193" spans="1:8" ht="15.75" x14ac:dyDescent="0.25">
      <c r="A193" s="1" t="s">
        <v>186</v>
      </c>
      <c r="B193">
        <v>60386</v>
      </c>
      <c r="C193" t="s">
        <v>364</v>
      </c>
      <c r="D193" t="s">
        <v>729</v>
      </c>
      <c r="E193" t="s">
        <v>1025</v>
      </c>
      <c r="G193">
        <v>6</v>
      </c>
      <c r="H193" s="3"/>
    </row>
    <row r="194" spans="1:8" ht="15.75" x14ac:dyDescent="0.25">
      <c r="A194" s="1" t="s">
        <v>186</v>
      </c>
      <c r="B194">
        <v>63325</v>
      </c>
      <c r="C194" t="s">
        <v>365</v>
      </c>
      <c r="D194" t="s">
        <v>730</v>
      </c>
      <c r="E194" t="s">
        <v>1026</v>
      </c>
      <c r="G194">
        <v>5</v>
      </c>
      <c r="H194" s="3"/>
    </row>
    <row r="195" spans="1:8" ht="15.75" x14ac:dyDescent="0.25">
      <c r="A195" s="1" t="s">
        <v>186</v>
      </c>
      <c r="B195">
        <v>63327</v>
      </c>
      <c r="C195" t="s">
        <v>366</v>
      </c>
      <c r="D195" t="s">
        <v>731</v>
      </c>
      <c r="E195" t="s">
        <v>1027</v>
      </c>
      <c r="G195">
        <v>4</v>
      </c>
      <c r="H195" s="3"/>
    </row>
    <row r="196" spans="1:8" ht="15.75" x14ac:dyDescent="0.25">
      <c r="A196" s="1" t="s">
        <v>186</v>
      </c>
      <c r="B196">
        <v>64912</v>
      </c>
      <c r="C196" t="s">
        <v>367</v>
      </c>
      <c r="D196" t="s">
        <v>732</v>
      </c>
      <c r="E196" t="s">
        <v>1028</v>
      </c>
      <c r="G196">
        <v>10</v>
      </c>
      <c r="H196" s="3"/>
    </row>
    <row r="197" spans="1:8" ht="15.75" x14ac:dyDescent="0.25">
      <c r="A197" s="1" t="s">
        <v>186</v>
      </c>
      <c r="B197">
        <v>66016</v>
      </c>
      <c r="C197" t="s">
        <v>368</v>
      </c>
      <c r="D197" t="s">
        <v>733</v>
      </c>
      <c r="E197" t="s">
        <v>1029</v>
      </c>
      <c r="G197">
        <v>4</v>
      </c>
      <c r="H197" s="3"/>
    </row>
    <row r="198" spans="1:8" ht="15.75" x14ac:dyDescent="0.25">
      <c r="A198" s="1" t="s">
        <v>186</v>
      </c>
      <c r="B198">
        <v>66242</v>
      </c>
      <c r="C198" t="s">
        <v>369</v>
      </c>
      <c r="D198" t="s">
        <v>734</v>
      </c>
      <c r="E198" t="s">
        <v>1030</v>
      </c>
      <c r="G198">
        <v>4</v>
      </c>
      <c r="H198" s="3"/>
    </row>
    <row r="199" spans="1:8" ht="15.75" x14ac:dyDescent="0.25">
      <c r="A199" s="1" t="s">
        <v>186</v>
      </c>
      <c r="B199">
        <v>67169</v>
      </c>
      <c r="C199" t="s">
        <v>370</v>
      </c>
      <c r="D199" t="s">
        <v>735</v>
      </c>
      <c r="E199" t="s">
        <v>1031</v>
      </c>
      <c r="G199">
        <v>2</v>
      </c>
      <c r="H199" s="3"/>
    </row>
    <row r="200" spans="1:8" ht="15.75" x14ac:dyDescent="0.25">
      <c r="A200" s="1" t="s">
        <v>186</v>
      </c>
      <c r="B200">
        <v>71532</v>
      </c>
      <c r="C200" t="s">
        <v>371</v>
      </c>
      <c r="D200" t="s">
        <v>736</v>
      </c>
      <c r="E200" t="s">
        <v>1032</v>
      </c>
      <c r="G200">
        <v>5</v>
      </c>
      <c r="H200" s="3"/>
    </row>
    <row r="201" spans="1:8" ht="15.75" x14ac:dyDescent="0.25">
      <c r="A201" s="1" t="s">
        <v>186</v>
      </c>
      <c r="B201">
        <v>72306</v>
      </c>
      <c r="C201" t="s">
        <v>372</v>
      </c>
      <c r="D201" t="s">
        <v>737</v>
      </c>
      <c r="E201" t="s">
        <v>1033</v>
      </c>
      <c r="G201">
        <v>2</v>
      </c>
      <c r="H201" s="3"/>
    </row>
    <row r="202" spans="1:8" ht="15.75" x14ac:dyDescent="0.25">
      <c r="A202" s="1" t="s">
        <v>187</v>
      </c>
      <c r="B202">
        <v>103</v>
      </c>
      <c r="C202" t="s">
        <v>373</v>
      </c>
      <c r="D202" t="s">
        <v>738</v>
      </c>
      <c r="E202" t="s">
        <v>1034</v>
      </c>
      <c r="G202">
        <v>7</v>
      </c>
      <c r="H202" s="3"/>
    </row>
    <row r="203" spans="1:8" ht="15.75" x14ac:dyDescent="0.25">
      <c r="A203" s="1" t="s">
        <v>187</v>
      </c>
      <c r="B203">
        <v>53240</v>
      </c>
      <c r="C203" t="s">
        <v>374</v>
      </c>
      <c r="D203" t="s">
        <v>739</v>
      </c>
      <c r="E203" t="s">
        <v>1035</v>
      </c>
      <c r="G203">
        <v>4</v>
      </c>
      <c r="H203" s="3"/>
    </row>
    <row r="204" spans="1:8" ht="15.75" x14ac:dyDescent="0.25">
      <c r="A204" s="1" t="s">
        <v>187</v>
      </c>
      <c r="B204">
        <v>54927</v>
      </c>
      <c r="C204" t="s">
        <v>375</v>
      </c>
      <c r="D204" t="s">
        <v>740</v>
      </c>
      <c r="E204" t="s">
        <v>1036</v>
      </c>
      <c r="G204">
        <v>5</v>
      </c>
      <c r="H204" s="3"/>
    </row>
    <row r="205" spans="1:8" ht="15.75" x14ac:dyDescent="0.25">
      <c r="A205" s="1" t="s">
        <v>187</v>
      </c>
      <c r="B205">
        <v>60293</v>
      </c>
      <c r="C205" t="s">
        <v>376</v>
      </c>
      <c r="D205" t="s">
        <v>741</v>
      </c>
      <c r="E205" t="s">
        <v>1037</v>
      </c>
      <c r="G205">
        <v>10</v>
      </c>
      <c r="H205" s="3"/>
    </row>
    <row r="206" spans="1:8" ht="15.75" x14ac:dyDescent="0.25">
      <c r="A206" s="1" t="s">
        <v>187</v>
      </c>
      <c r="B206">
        <v>61774</v>
      </c>
      <c r="C206" t="s">
        <v>377</v>
      </c>
      <c r="D206" t="s">
        <v>742</v>
      </c>
      <c r="E206" t="s">
        <v>1038</v>
      </c>
      <c r="G206">
        <v>8</v>
      </c>
      <c r="H206" s="3"/>
    </row>
    <row r="207" spans="1:8" ht="15.75" x14ac:dyDescent="0.25">
      <c r="A207" s="1" t="s">
        <v>187</v>
      </c>
      <c r="B207">
        <v>62318</v>
      </c>
      <c r="C207" t="s">
        <v>378</v>
      </c>
      <c r="D207" t="s">
        <v>743</v>
      </c>
      <c r="E207" t="s">
        <v>1039</v>
      </c>
      <c r="G207">
        <v>10</v>
      </c>
      <c r="H207" s="3"/>
    </row>
    <row r="208" spans="1:8" ht="15.75" x14ac:dyDescent="0.25">
      <c r="A208" s="1" t="s">
        <v>187</v>
      </c>
      <c r="B208">
        <v>67975</v>
      </c>
      <c r="C208" t="s">
        <v>379</v>
      </c>
      <c r="D208" t="s">
        <v>744</v>
      </c>
      <c r="E208" t="s">
        <v>1040</v>
      </c>
      <c r="G208">
        <v>7</v>
      </c>
      <c r="H208" s="3"/>
    </row>
    <row r="209" spans="1:8" ht="15.75" x14ac:dyDescent="0.25">
      <c r="A209" s="1" t="s">
        <v>187</v>
      </c>
      <c r="B209">
        <v>71976</v>
      </c>
      <c r="C209" t="s">
        <v>380</v>
      </c>
      <c r="D209" t="s">
        <v>745</v>
      </c>
      <c r="E209" t="s">
        <v>1041</v>
      </c>
      <c r="G209">
        <v>2</v>
      </c>
      <c r="H209" s="3"/>
    </row>
    <row r="210" spans="1:8" ht="15.75" x14ac:dyDescent="0.25">
      <c r="A210" s="1" t="s">
        <v>187</v>
      </c>
      <c r="B210">
        <v>72493</v>
      </c>
      <c r="C210" t="s">
        <v>381</v>
      </c>
      <c r="D210" t="s">
        <v>746</v>
      </c>
      <c r="E210" t="s">
        <v>1042</v>
      </c>
      <c r="G210">
        <v>4</v>
      </c>
      <c r="H210" s="3"/>
    </row>
    <row r="211" spans="1:8" ht="15.75" x14ac:dyDescent="0.25">
      <c r="A211" s="1" t="s">
        <v>187</v>
      </c>
      <c r="B211">
        <v>73442</v>
      </c>
      <c r="C211" t="s">
        <v>382</v>
      </c>
      <c r="D211" t="s">
        <v>747</v>
      </c>
      <c r="E211" t="s">
        <v>1043</v>
      </c>
      <c r="G211">
        <v>3</v>
      </c>
      <c r="H211" s="3"/>
    </row>
    <row r="212" spans="1:8" ht="15.75" x14ac:dyDescent="0.25">
      <c r="A212" s="1" t="s">
        <v>187</v>
      </c>
      <c r="B212">
        <v>58554</v>
      </c>
      <c r="C212" t="s">
        <v>383</v>
      </c>
      <c r="D212" t="s">
        <v>748</v>
      </c>
      <c r="E212" t="s">
        <v>1044</v>
      </c>
      <c r="G212">
        <v>6</v>
      </c>
      <c r="H212" s="3"/>
    </row>
    <row r="213" spans="1:8" ht="15.75" x14ac:dyDescent="0.25">
      <c r="A213" s="1" t="s">
        <v>187</v>
      </c>
      <c r="B213">
        <v>61208</v>
      </c>
      <c r="C213" t="s">
        <v>384</v>
      </c>
      <c r="D213" t="s">
        <v>749</v>
      </c>
      <c r="E213" t="s">
        <v>1045</v>
      </c>
      <c r="G213">
        <v>5</v>
      </c>
      <c r="H213" s="3"/>
    </row>
    <row r="214" spans="1:8" ht="15.75" x14ac:dyDescent="0.25">
      <c r="A214" s="1" t="s">
        <v>187</v>
      </c>
      <c r="B214">
        <v>61312</v>
      </c>
      <c r="C214" t="s">
        <v>385</v>
      </c>
      <c r="D214" t="s">
        <v>750</v>
      </c>
      <c r="E214" t="s">
        <v>1046</v>
      </c>
      <c r="G214">
        <v>6</v>
      </c>
      <c r="H214" s="3"/>
    </row>
    <row r="215" spans="1:8" ht="15.75" x14ac:dyDescent="0.25">
      <c r="A215" s="1" t="s">
        <v>187</v>
      </c>
      <c r="B215">
        <v>65554</v>
      </c>
      <c r="C215" t="s">
        <v>386</v>
      </c>
      <c r="D215" t="s">
        <v>751</v>
      </c>
      <c r="E215" t="s">
        <v>1047</v>
      </c>
      <c r="G215">
        <v>10</v>
      </c>
      <c r="H215" s="3"/>
    </row>
    <row r="216" spans="1:8" ht="15.75" x14ac:dyDescent="0.25">
      <c r="A216" s="1" t="s">
        <v>187</v>
      </c>
      <c r="B216">
        <v>67530</v>
      </c>
      <c r="C216" t="s">
        <v>387</v>
      </c>
      <c r="D216" t="s">
        <v>752</v>
      </c>
      <c r="E216" t="s">
        <v>1048</v>
      </c>
      <c r="G216">
        <v>10</v>
      </c>
      <c r="H216" s="3"/>
    </row>
    <row r="217" spans="1:8" ht="15.75" x14ac:dyDescent="0.25">
      <c r="A217" s="1" t="s">
        <v>187</v>
      </c>
      <c r="B217">
        <v>69299</v>
      </c>
      <c r="C217" t="s">
        <v>388</v>
      </c>
      <c r="D217" t="s">
        <v>753</v>
      </c>
      <c r="E217" t="s">
        <v>1049</v>
      </c>
      <c r="G217">
        <v>2</v>
      </c>
      <c r="H217" s="3"/>
    </row>
    <row r="218" spans="1:8" ht="15.75" x14ac:dyDescent="0.25">
      <c r="A218" s="1" t="s">
        <v>187</v>
      </c>
      <c r="B218">
        <v>70559</v>
      </c>
      <c r="C218" t="s">
        <v>389</v>
      </c>
      <c r="D218" t="s">
        <v>754</v>
      </c>
      <c r="E218" t="s">
        <v>1050</v>
      </c>
      <c r="G218">
        <v>7</v>
      </c>
      <c r="H218" s="3"/>
    </row>
    <row r="219" spans="1:8" ht="15.75" x14ac:dyDescent="0.25">
      <c r="A219" s="1" t="s">
        <v>187</v>
      </c>
      <c r="B219">
        <v>70646</v>
      </c>
      <c r="C219" t="s">
        <v>390</v>
      </c>
      <c r="D219" t="s">
        <v>755</v>
      </c>
      <c r="E219" t="s">
        <v>1051</v>
      </c>
      <c r="G219">
        <v>2</v>
      </c>
      <c r="H219" s="3"/>
    </row>
    <row r="220" spans="1:8" ht="15.75" x14ac:dyDescent="0.25">
      <c r="A220" s="1" t="s">
        <v>187</v>
      </c>
      <c r="B220">
        <v>70687</v>
      </c>
      <c r="C220" t="s">
        <v>391</v>
      </c>
      <c r="D220" t="s">
        <v>756</v>
      </c>
      <c r="E220" t="s">
        <v>1052</v>
      </c>
      <c r="G220">
        <v>10</v>
      </c>
      <c r="H220" s="3"/>
    </row>
    <row r="221" spans="1:8" ht="15.75" x14ac:dyDescent="0.25">
      <c r="A221" s="1" t="s">
        <v>187</v>
      </c>
      <c r="B221">
        <v>71844</v>
      </c>
      <c r="C221" t="s">
        <v>392</v>
      </c>
      <c r="D221" t="s">
        <v>757</v>
      </c>
      <c r="E221" t="s">
        <v>1053</v>
      </c>
      <c r="G221">
        <v>5</v>
      </c>
      <c r="H221" s="3"/>
    </row>
    <row r="222" spans="1:8" ht="15.75" x14ac:dyDescent="0.25">
      <c r="A222" s="1" t="s">
        <v>187</v>
      </c>
      <c r="B222">
        <v>73987</v>
      </c>
      <c r="C222" t="s">
        <v>393</v>
      </c>
      <c r="D222" t="s">
        <v>758</v>
      </c>
      <c r="E222" t="s">
        <v>1054</v>
      </c>
      <c r="G222">
        <v>6</v>
      </c>
      <c r="H222" s="3"/>
    </row>
    <row r="223" spans="1:8" ht="15.75" x14ac:dyDescent="0.25">
      <c r="A223" s="1" t="s">
        <v>187</v>
      </c>
      <c r="B223">
        <v>74252</v>
      </c>
      <c r="C223" t="s">
        <v>394</v>
      </c>
      <c r="D223" t="s">
        <v>759</v>
      </c>
      <c r="E223" t="s">
        <v>1055</v>
      </c>
      <c r="G223">
        <v>8</v>
      </c>
      <c r="H223" s="3"/>
    </row>
    <row r="224" spans="1:8" ht="15.75" x14ac:dyDescent="0.25">
      <c r="A224" s="1" t="s">
        <v>187</v>
      </c>
      <c r="B224">
        <v>74253</v>
      </c>
      <c r="C224" t="s">
        <v>375</v>
      </c>
      <c r="D224" t="s">
        <v>760</v>
      </c>
      <c r="E224" t="s">
        <v>1056</v>
      </c>
      <c r="G224">
        <v>9</v>
      </c>
      <c r="H224" s="3"/>
    </row>
    <row r="225" spans="1:8" ht="15.75" x14ac:dyDescent="0.25">
      <c r="A225" s="1" t="s">
        <v>187</v>
      </c>
      <c r="B225">
        <v>74432</v>
      </c>
      <c r="C225" t="s">
        <v>395</v>
      </c>
      <c r="D225" t="s">
        <v>761</v>
      </c>
      <c r="E225" t="s">
        <v>1057</v>
      </c>
      <c r="G225">
        <v>10</v>
      </c>
      <c r="H225" s="3"/>
    </row>
    <row r="226" spans="1:8" ht="15.75" x14ac:dyDescent="0.25">
      <c r="A226" s="1" t="s">
        <v>188</v>
      </c>
      <c r="B226">
        <v>112</v>
      </c>
      <c r="C226" t="s">
        <v>396</v>
      </c>
      <c r="D226" t="s">
        <v>762</v>
      </c>
      <c r="E226" t="s">
        <v>1058</v>
      </c>
      <c r="G226">
        <v>6</v>
      </c>
      <c r="H226" s="3"/>
    </row>
    <row r="227" spans="1:8" ht="15.75" x14ac:dyDescent="0.25">
      <c r="A227" s="1" t="s">
        <v>188</v>
      </c>
      <c r="B227">
        <v>58555</v>
      </c>
      <c r="C227" t="s">
        <v>397</v>
      </c>
      <c r="D227" t="s">
        <v>763</v>
      </c>
      <c r="E227" t="s">
        <v>1059</v>
      </c>
      <c r="G227">
        <v>7</v>
      </c>
      <c r="H227" s="3"/>
    </row>
    <row r="228" spans="1:8" ht="15.75" x14ac:dyDescent="0.25">
      <c r="A228" s="1" t="s">
        <v>188</v>
      </c>
      <c r="B228">
        <v>66964</v>
      </c>
      <c r="C228" t="s">
        <v>398</v>
      </c>
      <c r="D228" t="s">
        <v>764</v>
      </c>
      <c r="E228" t="s">
        <v>1060</v>
      </c>
      <c r="G228">
        <v>7</v>
      </c>
      <c r="H228" s="3"/>
    </row>
    <row r="229" spans="1:8" ht="15.75" x14ac:dyDescent="0.25">
      <c r="A229" s="1" t="s">
        <v>188</v>
      </c>
      <c r="B229">
        <v>70464</v>
      </c>
      <c r="C229" t="s">
        <v>399</v>
      </c>
      <c r="D229" t="s">
        <v>765</v>
      </c>
      <c r="E229" t="s">
        <v>1061</v>
      </c>
      <c r="G229">
        <v>3</v>
      </c>
      <c r="H229" s="3"/>
    </row>
    <row r="230" spans="1:8" ht="15.75" x14ac:dyDescent="0.25">
      <c r="A230" s="1" t="s">
        <v>188</v>
      </c>
      <c r="B230">
        <v>71159</v>
      </c>
      <c r="C230" t="s">
        <v>400</v>
      </c>
      <c r="D230" t="s">
        <v>766</v>
      </c>
      <c r="E230" t="s">
        <v>1062</v>
      </c>
      <c r="G230">
        <v>8</v>
      </c>
      <c r="H230" s="3"/>
    </row>
    <row r="231" spans="1:8" ht="15.75" x14ac:dyDescent="0.25">
      <c r="A231" s="1" t="s">
        <v>188</v>
      </c>
      <c r="B231">
        <v>71281</v>
      </c>
      <c r="C231" t="s">
        <v>401</v>
      </c>
      <c r="D231" t="s">
        <v>767</v>
      </c>
      <c r="E231" t="s">
        <v>1063</v>
      </c>
      <c r="G231">
        <v>5</v>
      </c>
      <c r="H231" s="3"/>
    </row>
    <row r="232" spans="1:8" ht="15.75" x14ac:dyDescent="0.25">
      <c r="A232" s="1" t="s">
        <v>188</v>
      </c>
      <c r="B232">
        <v>73297</v>
      </c>
      <c r="C232" t="s">
        <v>402</v>
      </c>
      <c r="D232" t="s">
        <v>768</v>
      </c>
      <c r="E232" t="s">
        <v>1064</v>
      </c>
      <c r="G232">
        <v>7</v>
      </c>
      <c r="H232" s="3"/>
    </row>
    <row r="233" spans="1:8" ht="15.75" x14ac:dyDescent="0.25">
      <c r="A233" s="1" t="s">
        <v>188</v>
      </c>
      <c r="B233">
        <v>74214</v>
      </c>
      <c r="C233" t="s">
        <v>403</v>
      </c>
      <c r="D233" t="s">
        <v>769</v>
      </c>
      <c r="E233" t="s">
        <v>1065</v>
      </c>
      <c r="G233">
        <v>6</v>
      </c>
      <c r="H233" s="3"/>
    </row>
    <row r="234" spans="1:8" ht="15.75" x14ac:dyDescent="0.25">
      <c r="A234" s="1" t="s">
        <v>188</v>
      </c>
      <c r="B234">
        <v>38344</v>
      </c>
      <c r="C234" t="s">
        <v>404</v>
      </c>
      <c r="D234" t="s">
        <v>770</v>
      </c>
      <c r="E234" t="s">
        <v>1066</v>
      </c>
      <c r="G234">
        <v>4</v>
      </c>
      <c r="H234" s="3"/>
    </row>
    <row r="235" spans="1:8" ht="15.75" x14ac:dyDescent="0.25">
      <c r="A235" s="1" t="s">
        <v>188</v>
      </c>
      <c r="B235">
        <v>41398</v>
      </c>
      <c r="C235" t="s">
        <v>405</v>
      </c>
      <c r="D235" t="s">
        <v>771</v>
      </c>
      <c r="E235" t="s">
        <v>1067</v>
      </c>
      <c r="G235">
        <v>4</v>
      </c>
      <c r="H235" s="3"/>
    </row>
    <row r="236" spans="1:8" ht="15.75" x14ac:dyDescent="0.25">
      <c r="A236" s="1" t="s">
        <v>188</v>
      </c>
      <c r="B236">
        <v>43760</v>
      </c>
      <c r="C236" t="s">
        <v>406</v>
      </c>
      <c r="D236" t="s">
        <v>772</v>
      </c>
      <c r="E236" t="s">
        <v>1068</v>
      </c>
      <c r="G236">
        <v>4</v>
      </c>
      <c r="H236" s="3"/>
    </row>
    <row r="237" spans="1:8" ht="15.75" x14ac:dyDescent="0.25">
      <c r="A237" s="1" t="s">
        <v>188</v>
      </c>
      <c r="B237">
        <v>50844</v>
      </c>
      <c r="C237" t="s">
        <v>407</v>
      </c>
      <c r="D237" t="s">
        <v>773</v>
      </c>
      <c r="E237" t="s">
        <v>1069</v>
      </c>
      <c r="G237">
        <v>6</v>
      </c>
      <c r="H237" s="3"/>
    </row>
    <row r="238" spans="1:8" ht="15.75" x14ac:dyDescent="0.25">
      <c r="A238" s="1" t="s">
        <v>188</v>
      </c>
      <c r="B238">
        <v>53738</v>
      </c>
      <c r="C238" t="s">
        <v>408</v>
      </c>
      <c r="D238" t="s">
        <v>774</v>
      </c>
      <c r="E238" t="s">
        <v>1070</v>
      </c>
      <c r="G238">
        <v>7</v>
      </c>
      <c r="H238" s="3"/>
    </row>
    <row r="239" spans="1:8" ht="15.75" x14ac:dyDescent="0.25">
      <c r="A239" s="1" t="s">
        <v>188</v>
      </c>
      <c r="B239">
        <v>53787</v>
      </c>
      <c r="C239" t="s">
        <v>409</v>
      </c>
      <c r="D239" t="s">
        <v>775</v>
      </c>
      <c r="E239" t="s">
        <v>1071</v>
      </c>
      <c r="G239">
        <v>2</v>
      </c>
      <c r="H239" s="3"/>
    </row>
    <row r="240" spans="1:8" ht="15.75" x14ac:dyDescent="0.25">
      <c r="A240" s="1" t="s">
        <v>188</v>
      </c>
      <c r="B240">
        <v>55212</v>
      </c>
      <c r="C240" t="s">
        <v>410</v>
      </c>
      <c r="D240" t="s">
        <v>776</v>
      </c>
      <c r="E240" t="s">
        <v>1072</v>
      </c>
      <c r="G240">
        <v>7</v>
      </c>
      <c r="H240" s="3"/>
    </row>
    <row r="241" spans="1:8" ht="15.75" x14ac:dyDescent="0.25">
      <c r="A241" s="1" t="s">
        <v>188</v>
      </c>
      <c r="B241">
        <v>58553</v>
      </c>
      <c r="C241" t="s">
        <v>411</v>
      </c>
      <c r="D241" t="s">
        <v>777</v>
      </c>
      <c r="E241" t="s">
        <v>1073</v>
      </c>
      <c r="G241">
        <v>8</v>
      </c>
      <c r="H241" s="3"/>
    </row>
    <row r="242" spans="1:8" ht="15.75" x14ac:dyDescent="0.25">
      <c r="A242" s="1" t="s">
        <v>188</v>
      </c>
      <c r="B242">
        <v>58675</v>
      </c>
      <c r="C242" t="s">
        <v>412</v>
      </c>
      <c r="D242" t="s">
        <v>778</v>
      </c>
      <c r="E242" t="s">
        <v>1074</v>
      </c>
      <c r="G242">
        <v>8</v>
      </c>
      <c r="H242" s="3"/>
    </row>
    <row r="243" spans="1:8" ht="15.75" x14ac:dyDescent="0.25">
      <c r="A243" s="1" t="s">
        <v>188</v>
      </c>
      <c r="B243">
        <v>62583</v>
      </c>
      <c r="C243" t="s">
        <v>413</v>
      </c>
      <c r="D243" t="s">
        <v>779</v>
      </c>
      <c r="E243" t="s">
        <v>1075</v>
      </c>
      <c r="G243">
        <v>4</v>
      </c>
      <c r="H243" s="3"/>
    </row>
    <row r="244" spans="1:8" ht="15.75" x14ac:dyDescent="0.25">
      <c r="A244" s="1" t="s">
        <v>188</v>
      </c>
      <c r="B244">
        <v>65427</v>
      </c>
      <c r="C244" t="s">
        <v>414</v>
      </c>
      <c r="D244" t="s">
        <v>780</v>
      </c>
      <c r="E244" t="s">
        <v>1076</v>
      </c>
      <c r="G244">
        <v>5</v>
      </c>
      <c r="H244" s="3"/>
    </row>
    <row r="245" spans="1:8" ht="15.75" x14ac:dyDescent="0.25">
      <c r="A245" s="1" t="s">
        <v>188</v>
      </c>
      <c r="B245">
        <v>66858</v>
      </c>
      <c r="C245" t="s">
        <v>415</v>
      </c>
      <c r="D245" t="s">
        <v>781</v>
      </c>
      <c r="E245" t="s">
        <v>1077</v>
      </c>
      <c r="G245">
        <v>4</v>
      </c>
      <c r="H245" s="3"/>
    </row>
    <row r="246" spans="1:8" ht="15.75" x14ac:dyDescent="0.25">
      <c r="A246" s="1" t="s">
        <v>188</v>
      </c>
      <c r="B246">
        <v>68631</v>
      </c>
      <c r="C246" t="s">
        <v>416</v>
      </c>
      <c r="D246" t="s">
        <v>782</v>
      </c>
      <c r="E246" t="s">
        <v>1078</v>
      </c>
      <c r="G246">
        <v>7</v>
      </c>
      <c r="H246" s="3"/>
    </row>
    <row r="247" spans="1:8" ht="15.75" x14ac:dyDescent="0.25">
      <c r="A247" s="1" t="s">
        <v>188</v>
      </c>
      <c r="B247">
        <v>71495</v>
      </c>
      <c r="C247" t="s">
        <v>417</v>
      </c>
      <c r="D247" t="s">
        <v>783</v>
      </c>
      <c r="E247" t="s">
        <v>1079</v>
      </c>
      <c r="G247">
        <v>3</v>
      </c>
      <c r="H247" s="3"/>
    </row>
    <row r="248" spans="1:8" ht="15.75" x14ac:dyDescent="0.25">
      <c r="A248" s="1" t="s">
        <v>188</v>
      </c>
      <c r="B248">
        <v>72054</v>
      </c>
      <c r="C248" t="s">
        <v>418</v>
      </c>
      <c r="D248" t="s">
        <v>784</v>
      </c>
      <c r="E248" t="s">
        <v>1080</v>
      </c>
      <c r="G248">
        <v>6</v>
      </c>
      <c r="H248" s="3"/>
    </row>
    <row r="249" spans="1:8" ht="15.75" x14ac:dyDescent="0.25">
      <c r="A249" s="1" t="s">
        <v>189</v>
      </c>
      <c r="B249">
        <v>55754</v>
      </c>
      <c r="C249" t="s">
        <v>419</v>
      </c>
      <c r="D249" t="s">
        <v>785</v>
      </c>
      <c r="E249" t="s">
        <v>1081</v>
      </c>
      <c r="G249">
        <v>10</v>
      </c>
      <c r="H249" s="3"/>
    </row>
    <row r="250" spans="1:8" ht="15.75" x14ac:dyDescent="0.25">
      <c r="A250" s="1" t="s">
        <v>189</v>
      </c>
      <c r="B250">
        <v>63329</v>
      </c>
      <c r="C250" t="s">
        <v>420</v>
      </c>
      <c r="D250" t="s">
        <v>786</v>
      </c>
      <c r="E250" t="s">
        <v>1082</v>
      </c>
      <c r="G250">
        <v>3</v>
      </c>
      <c r="H250" s="3"/>
    </row>
    <row r="251" spans="1:8" ht="15.75" x14ac:dyDescent="0.25">
      <c r="A251" s="1" t="s">
        <v>189</v>
      </c>
      <c r="B251">
        <v>65210</v>
      </c>
      <c r="C251" t="s">
        <v>421</v>
      </c>
      <c r="D251" t="s">
        <v>787</v>
      </c>
      <c r="E251" t="s">
        <v>1083</v>
      </c>
      <c r="G251">
        <v>9</v>
      </c>
      <c r="H251" s="3"/>
    </row>
    <row r="252" spans="1:8" ht="15.75" x14ac:dyDescent="0.25">
      <c r="A252" s="1" t="s">
        <v>189</v>
      </c>
      <c r="B252">
        <v>65224</v>
      </c>
      <c r="C252" t="s">
        <v>422</v>
      </c>
      <c r="D252" t="s">
        <v>788</v>
      </c>
      <c r="E252" t="s">
        <v>1084</v>
      </c>
      <c r="G252">
        <v>8</v>
      </c>
      <c r="H252" s="3"/>
    </row>
    <row r="253" spans="1:8" ht="15.75" x14ac:dyDescent="0.25">
      <c r="A253" s="1" t="s">
        <v>189</v>
      </c>
      <c r="B253">
        <v>70756</v>
      </c>
      <c r="C253" t="s">
        <v>423</v>
      </c>
      <c r="D253" t="s">
        <v>789</v>
      </c>
      <c r="E253" t="s">
        <v>1085</v>
      </c>
      <c r="G253">
        <v>5</v>
      </c>
      <c r="H253" s="3"/>
    </row>
    <row r="254" spans="1:8" ht="15.75" x14ac:dyDescent="0.25">
      <c r="A254" s="1" t="s">
        <v>189</v>
      </c>
      <c r="B254">
        <v>72282</v>
      </c>
      <c r="C254" t="s">
        <v>424</v>
      </c>
      <c r="D254" t="s">
        <v>790</v>
      </c>
      <c r="E254" t="s">
        <v>1086</v>
      </c>
      <c r="G254">
        <v>6</v>
      </c>
      <c r="H254" s="3"/>
    </row>
    <row r="255" spans="1:8" ht="15.75" x14ac:dyDescent="0.25">
      <c r="A255" s="1" t="s">
        <v>189</v>
      </c>
      <c r="B255">
        <v>73808</v>
      </c>
      <c r="C255" t="s">
        <v>425</v>
      </c>
      <c r="D255" t="s">
        <v>791</v>
      </c>
      <c r="E255" t="s">
        <v>1087</v>
      </c>
      <c r="G255">
        <v>4</v>
      </c>
      <c r="H255" s="3"/>
    </row>
    <row r="256" spans="1:8" ht="15.75" x14ac:dyDescent="0.25">
      <c r="A256" s="1" t="s">
        <v>189</v>
      </c>
      <c r="B256">
        <v>73833</v>
      </c>
      <c r="C256" t="s">
        <v>426</v>
      </c>
      <c r="D256" t="s">
        <v>792</v>
      </c>
      <c r="E256" t="s">
        <v>1088</v>
      </c>
      <c r="G256">
        <v>6</v>
      </c>
      <c r="H256" s="3"/>
    </row>
    <row r="257" spans="1:8" ht="15.75" x14ac:dyDescent="0.25">
      <c r="A257" s="1" t="s">
        <v>189</v>
      </c>
      <c r="B257">
        <v>27850</v>
      </c>
      <c r="C257" t="s">
        <v>427</v>
      </c>
      <c r="D257" t="s">
        <v>793</v>
      </c>
      <c r="E257" t="s">
        <v>1089</v>
      </c>
      <c r="G257">
        <v>4</v>
      </c>
      <c r="H257" s="3"/>
    </row>
    <row r="258" spans="1:8" ht="15.75" x14ac:dyDescent="0.25">
      <c r="A258" s="1" t="s">
        <v>189</v>
      </c>
      <c r="B258">
        <v>48466</v>
      </c>
      <c r="C258" t="s">
        <v>428</v>
      </c>
      <c r="D258" t="s">
        <v>794</v>
      </c>
      <c r="E258" t="s">
        <v>1090</v>
      </c>
      <c r="G258">
        <v>4</v>
      </c>
      <c r="H258" s="3"/>
    </row>
    <row r="259" spans="1:8" ht="15.75" x14ac:dyDescent="0.25">
      <c r="A259" s="1" t="s">
        <v>189</v>
      </c>
      <c r="B259">
        <v>54506</v>
      </c>
      <c r="C259" t="s">
        <v>429</v>
      </c>
      <c r="D259" t="s">
        <v>795</v>
      </c>
      <c r="E259" t="s">
        <v>1091</v>
      </c>
      <c r="G259">
        <v>6</v>
      </c>
      <c r="H259" s="3"/>
    </row>
    <row r="260" spans="1:8" ht="15.75" x14ac:dyDescent="0.25">
      <c r="A260" s="1" t="s">
        <v>189</v>
      </c>
      <c r="B260">
        <v>55755</v>
      </c>
      <c r="C260" t="s">
        <v>430</v>
      </c>
      <c r="D260" t="s">
        <v>796</v>
      </c>
      <c r="E260" t="s">
        <v>1092</v>
      </c>
      <c r="G260">
        <v>5</v>
      </c>
      <c r="H260" s="3"/>
    </row>
    <row r="261" spans="1:8" ht="15.75" x14ac:dyDescent="0.25">
      <c r="A261" s="1" t="s">
        <v>189</v>
      </c>
      <c r="B261">
        <v>59752</v>
      </c>
      <c r="C261" t="s">
        <v>431</v>
      </c>
      <c r="D261" t="s">
        <v>797</v>
      </c>
      <c r="E261" t="s">
        <v>1093</v>
      </c>
      <c r="G261">
        <v>4</v>
      </c>
      <c r="H261" s="3"/>
    </row>
    <row r="262" spans="1:8" ht="15.75" x14ac:dyDescent="0.25">
      <c r="A262" s="1" t="s">
        <v>189</v>
      </c>
      <c r="B262">
        <v>61414</v>
      </c>
      <c r="C262" t="s">
        <v>432</v>
      </c>
      <c r="D262" t="s">
        <v>798</v>
      </c>
      <c r="E262" t="s">
        <v>1094</v>
      </c>
      <c r="G262">
        <v>10</v>
      </c>
      <c r="H262" s="3"/>
    </row>
    <row r="263" spans="1:8" ht="15.75" x14ac:dyDescent="0.25">
      <c r="A263" s="1" t="s">
        <v>189</v>
      </c>
      <c r="B263">
        <v>63324</v>
      </c>
      <c r="C263" t="s">
        <v>433</v>
      </c>
      <c r="D263" t="s">
        <v>799</v>
      </c>
      <c r="E263" t="s">
        <v>1095</v>
      </c>
      <c r="G263">
        <v>6</v>
      </c>
      <c r="H263" s="3"/>
    </row>
    <row r="264" spans="1:8" ht="15.75" x14ac:dyDescent="0.25">
      <c r="A264" s="1" t="s">
        <v>189</v>
      </c>
      <c r="B264">
        <v>63328</v>
      </c>
      <c r="C264" t="s">
        <v>434</v>
      </c>
      <c r="D264" t="s">
        <v>800</v>
      </c>
      <c r="E264" t="s">
        <v>1096</v>
      </c>
      <c r="G264">
        <v>3</v>
      </c>
      <c r="H264" s="3"/>
    </row>
    <row r="265" spans="1:8" ht="15.75" x14ac:dyDescent="0.25">
      <c r="A265" s="1" t="s">
        <v>189</v>
      </c>
      <c r="B265">
        <v>63819</v>
      </c>
      <c r="C265" t="s">
        <v>435</v>
      </c>
      <c r="D265" t="s">
        <v>801</v>
      </c>
      <c r="E265" t="s">
        <v>1097</v>
      </c>
      <c r="G265">
        <v>10</v>
      </c>
      <c r="H265" s="3"/>
    </row>
    <row r="266" spans="1:8" ht="15.75" x14ac:dyDescent="0.25">
      <c r="A266" s="1" t="s">
        <v>189</v>
      </c>
      <c r="B266">
        <v>66660</v>
      </c>
      <c r="C266" t="s">
        <v>436</v>
      </c>
      <c r="D266" t="s">
        <v>802</v>
      </c>
      <c r="E266" t="s">
        <v>1098</v>
      </c>
      <c r="G266">
        <v>3</v>
      </c>
      <c r="H266" s="3"/>
    </row>
    <row r="267" spans="1:8" ht="15.75" x14ac:dyDescent="0.25">
      <c r="A267" s="1" t="s">
        <v>189</v>
      </c>
      <c r="B267">
        <v>66872</v>
      </c>
      <c r="C267" t="s">
        <v>437</v>
      </c>
      <c r="D267" t="s">
        <v>803</v>
      </c>
      <c r="E267" t="s">
        <v>1099</v>
      </c>
      <c r="G267">
        <v>7</v>
      </c>
      <c r="H267" s="3"/>
    </row>
    <row r="268" spans="1:8" ht="15.75" x14ac:dyDescent="0.25">
      <c r="A268" s="1" t="s">
        <v>189</v>
      </c>
      <c r="B268">
        <v>67042</v>
      </c>
      <c r="C268" t="s">
        <v>438</v>
      </c>
      <c r="D268" t="s">
        <v>804</v>
      </c>
      <c r="E268" t="s">
        <v>1100</v>
      </c>
      <c r="G268">
        <v>8</v>
      </c>
      <c r="H268" s="3"/>
    </row>
    <row r="269" spans="1:8" ht="15.75" x14ac:dyDescent="0.25">
      <c r="A269" s="1" t="s">
        <v>189</v>
      </c>
      <c r="B269">
        <v>71453</v>
      </c>
      <c r="C269" t="s">
        <v>439</v>
      </c>
      <c r="D269" t="s">
        <v>805</v>
      </c>
      <c r="E269" t="s">
        <v>1101</v>
      </c>
      <c r="G269">
        <v>8</v>
      </c>
      <c r="H269" s="3"/>
    </row>
    <row r="270" spans="1:8" ht="15.75" x14ac:dyDescent="0.25">
      <c r="A270" s="1" t="s">
        <v>189</v>
      </c>
      <c r="B270">
        <v>71950</v>
      </c>
      <c r="C270" t="s">
        <v>417</v>
      </c>
      <c r="D270" t="s">
        <v>806</v>
      </c>
      <c r="E270" t="s">
        <v>1102</v>
      </c>
      <c r="G270">
        <v>4</v>
      </c>
      <c r="H270" s="3"/>
    </row>
    <row r="271" spans="1:8" ht="15.75" x14ac:dyDescent="0.25">
      <c r="A271" s="1" t="s">
        <v>189</v>
      </c>
      <c r="B271">
        <v>72386</v>
      </c>
      <c r="C271" t="s">
        <v>440</v>
      </c>
      <c r="D271" t="s">
        <v>807</v>
      </c>
      <c r="E271" t="s">
        <v>1103</v>
      </c>
      <c r="G271">
        <v>2</v>
      </c>
      <c r="H271" s="3"/>
    </row>
    <row r="272" spans="1:8" ht="15.75" x14ac:dyDescent="0.25">
      <c r="A272" s="1" t="s">
        <v>189</v>
      </c>
      <c r="B272">
        <v>74396</v>
      </c>
      <c r="C272" t="s">
        <v>441</v>
      </c>
      <c r="D272" t="s">
        <v>651</v>
      </c>
      <c r="E272" t="s">
        <v>1104</v>
      </c>
      <c r="G272">
        <v>10</v>
      </c>
      <c r="H272" s="3"/>
    </row>
    <row r="273" spans="1:8" ht="15.75" x14ac:dyDescent="0.25">
      <c r="A273" s="1" t="s">
        <v>190</v>
      </c>
      <c r="B273">
        <v>27851</v>
      </c>
      <c r="C273" t="s">
        <v>442</v>
      </c>
      <c r="D273" t="s">
        <v>808</v>
      </c>
      <c r="E273" t="s">
        <v>1105</v>
      </c>
      <c r="G273">
        <v>4</v>
      </c>
      <c r="H273" s="3"/>
    </row>
    <row r="274" spans="1:8" ht="15.75" x14ac:dyDescent="0.25">
      <c r="A274" s="1" t="s">
        <v>190</v>
      </c>
      <c r="B274">
        <v>38363</v>
      </c>
      <c r="C274" t="s">
        <v>443</v>
      </c>
      <c r="D274" t="s">
        <v>809</v>
      </c>
      <c r="E274" t="s">
        <v>1106</v>
      </c>
      <c r="G274">
        <v>6</v>
      </c>
      <c r="H274" s="3"/>
    </row>
    <row r="275" spans="1:8" ht="15.75" x14ac:dyDescent="0.25">
      <c r="A275" s="1" t="s">
        <v>190</v>
      </c>
      <c r="B275">
        <v>44869</v>
      </c>
      <c r="C275" t="s">
        <v>444</v>
      </c>
      <c r="D275" t="s">
        <v>810</v>
      </c>
      <c r="E275" t="s">
        <v>1107</v>
      </c>
      <c r="G275">
        <v>4</v>
      </c>
      <c r="H275" s="3"/>
    </row>
    <row r="276" spans="1:8" ht="15.75" x14ac:dyDescent="0.25">
      <c r="A276" s="1" t="s">
        <v>190</v>
      </c>
      <c r="B276">
        <v>63330</v>
      </c>
      <c r="C276" t="s">
        <v>445</v>
      </c>
      <c r="D276" t="s">
        <v>811</v>
      </c>
      <c r="E276" t="s">
        <v>1108</v>
      </c>
      <c r="G276">
        <v>7</v>
      </c>
      <c r="H276" s="3"/>
    </row>
    <row r="277" spans="1:8" ht="15.75" x14ac:dyDescent="0.25">
      <c r="A277" s="1" t="s">
        <v>190</v>
      </c>
      <c r="B277">
        <v>65189</v>
      </c>
      <c r="C277" t="s">
        <v>446</v>
      </c>
      <c r="D277" t="s">
        <v>812</v>
      </c>
      <c r="E277" t="s">
        <v>1109</v>
      </c>
      <c r="G277">
        <v>5</v>
      </c>
      <c r="H277" s="3"/>
    </row>
    <row r="278" spans="1:8" ht="15.75" x14ac:dyDescent="0.25">
      <c r="A278" s="1" t="s">
        <v>190</v>
      </c>
      <c r="B278">
        <v>65209</v>
      </c>
      <c r="C278" t="s">
        <v>447</v>
      </c>
      <c r="D278" t="s">
        <v>813</v>
      </c>
      <c r="E278" t="s">
        <v>1110</v>
      </c>
      <c r="G278">
        <v>10</v>
      </c>
      <c r="H278" s="3"/>
    </row>
    <row r="279" spans="1:8" ht="15.75" x14ac:dyDescent="0.25">
      <c r="A279" s="1" t="s">
        <v>190</v>
      </c>
      <c r="B279">
        <v>65235</v>
      </c>
      <c r="C279" t="s">
        <v>425</v>
      </c>
      <c r="D279" t="s">
        <v>814</v>
      </c>
      <c r="E279" t="s">
        <v>1111</v>
      </c>
      <c r="G279">
        <v>5</v>
      </c>
      <c r="H279" s="3"/>
    </row>
    <row r="280" spans="1:8" ht="15.75" x14ac:dyDescent="0.25">
      <c r="A280" s="1" t="s">
        <v>190</v>
      </c>
      <c r="B280">
        <v>65944</v>
      </c>
      <c r="C280" t="s">
        <v>448</v>
      </c>
      <c r="D280" t="s">
        <v>815</v>
      </c>
      <c r="E280" t="s">
        <v>1112</v>
      </c>
      <c r="G280">
        <v>6</v>
      </c>
      <c r="H280" s="3"/>
    </row>
    <row r="281" spans="1:8" ht="15.75" x14ac:dyDescent="0.25">
      <c r="A281" s="1" t="s">
        <v>190</v>
      </c>
      <c r="B281">
        <v>65945</v>
      </c>
      <c r="C281" t="s">
        <v>449</v>
      </c>
      <c r="D281" t="s">
        <v>816</v>
      </c>
      <c r="E281" t="s">
        <v>1113</v>
      </c>
      <c r="G281">
        <v>7</v>
      </c>
      <c r="H281" s="3"/>
    </row>
    <row r="282" spans="1:8" ht="15.75" x14ac:dyDescent="0.25">
      <c r="A282" s="1" t="s">
        <v>190</v>
      </c>
      <c r="B282">
        <v>67025</v>
      </c>
      <c r="C282" t="s">
        <v>450</v>
      </c>
      <c r="D282" t="s">
        <v>817</v>
      </c>
      <c r="E282" t="s">
        <v>1114</v>
      </c>
      <c r="G282">
        <v>9</v>
      </c>
      <c r="H282" s="3"/>
    </row>
    <row r="283" spans="1:8" ht="15.75" x14ac:dyDescent="0.25">
      <c r="A283" s="1" t="s">
        <v>190</v>
      </c>
      <c r="B283">
        <v>67049</v>
      </c>
      <c r="C283" t="s">
        <v>451</v>
      </c>
      <c r="D283" t="s">
        <v>818</v>
      </c>
      <c r="E283" t="s">
        <v>1115</v>
      </c>
      <c r="G283">
        <v>9</v>
      </c>
      <c r="H283" s="3"/>
    </row>
    <row r="284" spans="1:8" ht="15.75" x14ac:dyDescent="0.25">
      <c r="A284" s="1" t="s">
        <v>190</v>
      </c>
      <c r="B284">
        <v>67463</v>
      </c>
      <c r="C284" t="s">
        <v>452</v>
      </c>
      <c r="D284" t="s">
        <v>819</v>
      </c>
      <c r="E284" t="s">
        <v>1116</v>
      </c>
      <c r="G284">
        <v>7</v>
      </c>
      <c r="H284" s="3"/>
    </row>
    <row r="285" spans="1:8" ht="15.75" x14ac:dyDescent="0.25">
      <c r="A285" s="1" t="s">
        <v>190</v>
      </c>
      <c r="B285">
        <v>67984</v>
      </c>
      <c r="C285" t="s">
        <v>453</v>
      </c>
      <c r="D285" t="s">
        <v>820</v>
      </c>
      <c r="E285" t="s">
        <v>1117</v>
      </c>
      <c r="G285">
        <v>10</v>
      </c>
      <c r="H285" s="3"/>
    </row>
    <row r="286" spans="1:8" ht="15.75" x14ac:dyDescent="0.25">
      <c r="A286" s="1" t="s">
        <v>190</v>
      </c>
      <c r="B286">
        <v>72220</v>
      </c>
      <c r="C286" t="s">
        <v>454</v>
      </c>
      <c r="D286" t="s">
        <v>821</v>
      </c>
      <c r="E286" t="s">
        <v>1118</v>
      </c>
      <c r="G286">
        <v>8</v>
      </c>
      <c r="H286" s="3"/>
    </row>
    <row r="287" spans="1:8" ht="15.75" x14ac:dyDescent="0.25">
      <c r="A287" s="1" t="s">
        <v>190</v>
      </c>
      <c r="B287">
        <v>2673</v>
      </c>
      <c r="C287" t="s">
        <v>455</v>
      </c>
      <c r="D287" t="s">
        <v>822</v>
      </c>
      <c r="E287" t="s">
        <v>1119</v>
      </c>
      <c r="G287">
        <v>7</v>
      </c>
      <c r="H287" s="3"/>
    </row>
    <row r="288" spans="1:8" ht="15.75" x14ac:dyDescent="0.25">
      <c r="A288" s="1" t="s">
        <v>190</v>
      </c>
      <c r="B288">
        <v>40815</v>
      </c>
      <c r="C288" t="s">
        <v>456</v>
      </c>
      <c r="D288" t="s">
        <v>823</v>
      </c>
      <c r="E288" t="s">
        <v>1120</v>
      </c>
      <c r="G288">
        <v>10</v>
      </c>
      <c r="H288" s="3"/>
    </row>
    <row r="289" spans="1:8" ht="15.75" x14ac:dyDescent="0.25">
      <c r="A289" s="1" t="s">
        <v>190</v>
      </c>
      <c r="B289">
        <v>45035</v>
      </c>
      <c r="C289" t="s">
        <v>457</v>
      </c>
      <c r="D289" t="s">
        <v>824</v>
      </c>
      <c r="E289" t="s">
        <v>1121</v>
      </c>
      <c r="G289">
        <v>10</v>
      </c>
      <c r="H289" s="3"/>
    </row>
    <row r="290" spans="1:8" ht="15.75" x14ac:dyDescent="0.25">
      <c r="A290" s="1" t="s">
        <v>190</v>
      </c>
      <c r="B290">
        <v>60334</v>
      </c>
      <c r="C290" t="s">
        <v>458</v>
      </c>
      <c r="D290" t="s">
        <v>825</v>
      </c>
      <c r="E290" t="s">
        <v>1122</v>
      </c>
      <c r="G290">
        <v>5</v>
      </c>
      <c r="H290" s="3"/>
    </row>
    <row r="291" spans="1:8" ht="15.75" x14ac:dyDescent="0.25">
      <c r="A291" s="1" t="s">
        <v>190</v>
      </c>
      <c r="B291">
        <v>63323</v>
      </c>
      <c r="C291" t="s">
        <v>459</v>
      </c>
      <c r="D291" t="s">
        <v>826</v>
      </c>
      <c r="E291" t="s">
        <v>1123</v>
      </c>
      <c r="G291">
        <v>4</v>
      </c>
      <c r="H291" s="3"/>
    </row>
    <row r="292" spans="1:8" ht="15.75" x14ac:dyDescent="0.25">
      <c r="A292" s="1" t="s">
        <v>190</v>
      </c>
      <c r="B292">
        <v>63326</v>
      </c>
      <c r="C292" t="s">
        <v>460</v>
      </c>
      <c r="D292" t="s">
        <v>776</v>
      </c>
      <c r="E292" t="s">
        <v>1124</v>
      </c>
      <c r="G292">
        <v>5</v>
      </c>
      <c r="H292" s="3"/>
    </row>
    <row r="293" spans="1:8" ht="15.75" x14ac:dyDescent="0.25">
      <c r="A293" s="1" t="s">
        <v>190</v>
      </c>
      <c r="B293">
        <v>67136</v>
      </c>
      <c r="C293" t="s">
        <v>461</v>
      </c>
      <c r="D293" t="s">
        <v>827</v>
      </c>
      <c r="E293" t="s">
        <v>1125</v>
      </c>
      <c r="G293">
        <v>10</v>
      </c>
      <c r="H293" s="3"/>
    </row>
    <row r="294" spans="1:8" ht="15.75" x14ac:dyDescent="0.25">
      <c r="A294" s="1" t="s">
        <v>190</v>
      </c>
      <c r="B294">
        <v>70799</v>
      </c>
      <c r="C294" t="s">
        <v>462</v>
      </c>
      <c r="D294" t="s">
        <v>752</v>
      </c>
      <c r="E294" t="s">
        <v>1126</v>
      </c>
      <c r="G294">
        <v>3</v>
      </c>
      <c r="H294" s="3"/>
    </row>
    <row r="295" spans="1:8" ht="15.75" x14ac:dyDescent="0.25">
      <c r="A295" s="1" t="s">
        <v>190</v>
      </c>
      <c r="B295">
        <v>70816</v>
      </c>
      <c r="C295" t="s">
        <v>463</v>
      </c>
      <c r="D295" t="s">
        <v>828</v>
      </c>
      <c r="E295" t="s">
        <v>1127</v>
      </c>
      <c r="G295">
        <v>7</v>
      </c>
      <c r="H295" s="3"/>
    </row>
    <row r="296" spans="1:8" ht="15.75" x14ac:dyDescent="0.25">
      <c r="A296" s="1" t="s">
        <v>190</v>
      </c>
      <c r="B296">
        <v>72281</v>
      </c>
      <c r="C296" t="s">
        <v>464</v>
      </c>
      <c r="D296" t="s">
        <v>829</v>
      </c>
      <c r="E296" t="s">
        <v>1128</v>
      </c>
      <c r="G296">
        <v>2</v>
      </c>
      <c r="H296" s="3"/>
    </row>
    <row r="297" spans="1:8" ht="15.75" x14ac:dyDescent="0.25">
      <c r="A297" s="1" t="s">
        <v>191</v>
      </c>
      <c r="B297">
        <v>2392</v>
      </c>
      <c r="C297" t="s">
        <v>465</v>
      </c>
      <c r="D297" t="s">
        <v>830</v>
      </c>
      <c r="E297" t="s">
        <v>1129</v>
      </c>
      <c r="G297">
        <v>6</v>
      </c>
      <c r="H297" s="3"/>
    </row>
    <row r="298" spans="1:8" ht="15.75" x14ac:dyDescent="0.25">
      <c r="A298" s="1" t="s">
        <v>191</v>
      </c>
      <c r="B298">
        <v>10157</v>
      </c>
      <c r="C298" t="s">
        <v>466</v>
      </c>
      <c r="D298" t="s">
        <v>831</v>
      </c>
      <c r="E298" t="s">
        <v>1130</v>
      </c>
      <c r="G298">
        <v>6</v>
      </c>
      <c r="H298" s="3"/>
    </row>
    <row r="299" spans="1:8" ht="15.75" x14ac:dyDescent="0.25">
      <c r="A299" s="1" t="s">
        <v>191</v>
      </c>
      <c r="B299">
        <v>10159</v>
      </c>
      <c r="C299" t="s">
        <v>467</v>
      </c>
      <c r="D299" t="s">
        <v>757</v>
      </c>
      <c r="E299" t="s">
        <v>1131</v>
      </c>
      <c r="G299">
        <v>6</v>
      </c>
      <c r="H299" s="3"/>
    </row>
    <row r="300" spans="1:8" ht="15.75" x14ac:dyDescent="0.25">
      <c r="A300" s="1" t="s">
        <v>191</v>
      </c>
      <c r="B300">
        <v>10321</v>
      </c>
      <c r="C300" t="s">
        <v>468</v>
      </c>
      <c r="D300" t="s">
        <v>758</v>
      </c>
      <c r="E300" t="s">
        <v>1132</v>
      </c>
      <c r="G300">
        <v>7</v>
      </c>
      <c r="H300" s="3"/>
    </row>
    <row r="301" spans="1:8" ht="15.75" x14ac:dyDescent="0.25">
      <c r="A301" s="1" t="s">
        <v>191</v>
      </c>
      <c r="B301">
        <v>12734</v>
      </c>
      <c r="C301" t="s">
        <v>469</v>
      </c>
      <c r="D301" t="s">
        <v>733</v>
      </c>
      <c r="E301" t="s">
        <v>1133</v>
      </c>
      <c r="G301">
        <v>10</v>
      </c>
      <c r="H301" s="3"/>
    </row>
    <row r="302" spans="1:8" ht="15.75" x14ac:dyDescent="0.25">
      <c r="A302" s="1" t="s">
        <v>191</v>
      </c>
      <c r="B302">
        <v>27239</v>
      </c>
      <c r="C302" t="s">
        <v>470</v>
      </c>
      <c r="D302" t="s">
        <v>760</v>
      </c>
      <c r="E302" t="s">
        <v>1134</v>
      </c>
      <c r="G302">
        <v>8</v>
      </c>
      <c r="H302" s="3"/>
    </row>
    <row r="303" spans="1:8" ht="15.75" x14ac:dyDescent="0.25">
      <c r="A303" s="1" t="s">
        <v>191</v>
      </c>
      <c r="B303">
        <v>31289</v>
      </c>
      <c r="C303" t="s">
        <v>471</v>
      </c>
      <c r="D303" t="s">
        <v>832</v>
      </c>
      <c r="E303" t="s">
        <v>1135</v>
      </c>
      <c r="G303">
        <v>7</v>
      </c>
      <c r="H303" s="3"/>
    </row>
    <row r="304" spans="1:8" ht="15.75" x14ac:dyDescent="0.25">
      <c r="A304" s="1" t="s">
        <v>191</v>
      </c>
      <c r="B304">
        <v>34066</v>
      </c>
      <c r="C304" t="s">
        <v>472</v>
      </c>
      <c r="D304" t="s">
        <v>736</v>
      </c>
      <c r="E304" t="s">
        <v>1136</v>
      </c>
      <c r="G304">
        <v>10</v>
      </c>
      <c r="H304" s="3"/>
    </row>
    <row r="305" spans="1:8" ht="15.75" x14ac:dyDescent="0.25">
      <c r="A305" s="1" t="s">
        <v>191</v>
      </c>
      <c r="B305">
        <v>35580</v>
      </c>
      <c r="C305" t="s">
        <v>453</v>
      </c>
      <c r="D305" t="s">
        <v>737</v>
      </c>
      <c r="E305" t="s">
        <v>1137</v>
      </c>
      <c r="G305">
        <v>8</v>
      </c>
      <c r="H305" s="3"/>
    </row>
    <row r="306" spans="1:8" ht="15.75" x14ac:dyDescent="0.25">
      <c r="A306" s="1" t="s">
        <v>191</v>
      </c>
      <c r="B306">
        <v>37711</v>
      </c>
      <c r="C306" t="s">
        <v>473</v>
      </c>
      <c r="D306" t="s">
        <v>833</v>
      </c>
      <c r="E306" t="s">
        <v>1138</v>
      </c>
      <c r="G306">
        <v>6</v>
      </c>
      <c r="H306" s="3"/>
    </row>
    <row r="307" spans="1:8" ht="15.75" x14ac:dyDescent="0.25">
      <c r="A307" s="1" t="s">
        <v>191</v>
      </c>
      <c r="B307">
        <v>39343</v>
      </c>
      <c r="C307" t="s">
        <v>474</v>
      </c>
      <c r="D307" t="s">
        <v>765</v>
      </c>
      <c r="E307" t="s">
        <v>1139</v>
      </c>
      <c r="G307">
        <v>6</v>
      </c>
      <c r="H307" s="3"/>
    </row>
    <row r="308" spans="1:8" ht="15.75" x14ac:dyDescent="0.25">
      <c r="A308" s="1" t="s">
        <v>191</v>
      </c>
      <c r="B308">
        <v>48747</v>
      </c>
      <c r="C308" t="s">
        <v>475</v>
      </c>
      <c r="D308" t="s">
        <v>766</v>
      </c>
      <c r="E308" t="s">
        <v>1140</v>
      </c>
      <c r="G308">
        <v>10</v>
      </c>
      <c r="H308" s="3"/>
    </row>
    <row r="309" spans="1:8" ht="15.75" x14ac:dyDescent="0.25">
      <c r="A309" s="1" t="s">
        <v>191</v>
      </c>
      <c r="B309">
        <v>53752</v>
      </c>
      <c r="C309" t="s">
        <v>476</v>
      </c>
      <c r="D309" t="s">
        <v>767</v>
      </c>
      <c r="E309" t="s">
        <v>1141</v>
      </c>
      <c r="G309">
        <v>4</v>
      </c>
      <c r="H309" s="3"/>
    </row>
    <row r="310" spans="1:8" ht="15.75" x14ac:dyDescent="0.25">
      <c r="A310" s="1" t="s">
        <v>191</v>
      </c>
      <c r="B310">
        <v>53753</v>
      </c>
      <c r="C310" t="s">
        <v>477</v>
      </c>
      <c r="D310" t="s">
        <v>768</v>
      </c>
      <c r="E310" t="s">
        <v>1142</v>
      </c>
      <c r="G310">
        <v>3</v>
      </c>
      <c r="H310" s="3"/>
    </row>
    <row r="311" spans="1:8" ht="15.75" x14ac:dyDescent="0.25">
      <c r="A311" s="1" t="s">
        <v>191</v>
      </c>
      <c r="B311">
        <v>53754</v>
      </c>
      <c r="C311" t="s">
        <v>478</v>
      </c>
      <c r="D311" t="s">
        <v>769</v>
      </c>
      <c r="E311" t="s">
        <v>1143</v>
      </c>
      <c r="G311">
        <v>4</v>
      </c>
      <c r="H311" s="3"/>
    </row>
    <row r="312" spans="1:8" ht="15.75" x14ac:dyDescent="0.25">
      <c r="A312" s="1" t="s">
        <v>191</v>
      </c>
      <c r="B312">
        <v>53755</v>
      </c>
      <c r="C312" t="s">
        <v>479</v>
      </c>
      <c r="D312" t="s">
        <v>770</v>
      </c>
      <c r="E312" t="s">
        <v>1144</v>
      </c>
      <c r="G312">
        <v>3</v>
      </c>
      <c r="H312" s="3"/>
    </row>
    <row r="313" spans="1:8" ht="15.75" x14ac:dyDescent="0.25">
      <c r="A313" s="1" t="s">
        <v>191</v>
      </c>
      <c r="B313">
        <v>60140</v>
      </c>
      <c r="C313" t="s">
        <v>480</v>
      </c>
      <c r="D313" t="s">
        <v>771</v>
      </c>
      <c r="E313" t="s">
        <v>1145</v>
      </c>
      <c r="G313">
        <v>10</v>
      </c>
      <c r="H313" s="3"/>
    </row>
    <row r="314" spans="1:8" ht="15.75" x14ac:dyDescent="0.25">
      <c r="A314" s="1" t="s">
        <v>191</v>
      </c>
      <c r="B314">
        <v>60906</v>
      </c>
      <c r="C314" t="s">
        <v>481</v>
      </c>
      <c r="D314" t="s">
        <v>772</v>
      </c>
      <c r="E314" t="s">
        <v>1146</v>
      </c>
      <c r="G314">
        <v>8</v>
      </c>
      <c r="H314" s="3"/>
    </row>
    <row r="315" spans="1:8" ht="15.75" x14ac:dyDescent="0.25">
      <c r="A315" s="1" t="s">
        <v>191</v>
      </c>
      <c r="B315">
        <v>60907</v>
      </c>
      <c r="C315" t="s">
        <v>482</v>
      </c>
      <c r="D315" t="s">
        <v>773</v>
      </c>
      <c r="E315" t="s">
        <v>1147</v>
      </c>
      <c r="G315">
        <v>8</v>
      </c>
      <c r="H315" s="3"/>
    </row>
    <row r="316" spans="1:8" ht="15.75" x14ac:dyDescent="0.25">
      <c r="A316" s="1" t="s">
        <v>191</v>
      </c>
      <c r="B316">
        <v>61461</v>
      </c>
      <c r="C316" t="s">
        <v>483</v>
      </c>
      <c r="D316" t="s">
        <v>774</v>
      </c>
      <c r="E316" t="s">
        <v>1148</v>
      </c>
      <c r="G316">
        <v>4</v>
      </c>
      <c r="H316" s="3"/>
    </row>
    <row r="317" spans="1:8" ht="15.75" x14ac:dyDescent="0.25">
      <c r="A317" s="1" t="s">
        <v>191</v>
      </c>
      <c r="B317">
        <v>67022</v>
      </c>
      <c r="C317" t="s">
        <v>455</v>
      </c>
      <c r="D317" t="s">
        <v>775</v>
      </c>
      <c r="E317" t="s">
        <v>1149</v>
      </c>
      <c r="G317">
        <v>7</v>
      </c>
      <c r="H317" s="3"/>
    </row>
    <row r="318" spans="1:8" ht="15.75" x14ac:dyDescent="0.25">
      <c r="A318" s="1" t="s">
        <v>191</v>
      </c>
      <c r="B318">
        <v>69306</v>
      </c>
      <c r="C318" t="s">
        <v>456</v>
      </c>
      <c r="D318" t="s">
        <v>802</v>
      </c>
      <c r="E318" t="s">
        <v>1150</v>
      </c>
      <c r="G318">
        <v>6</v>
      </c>
      <c r="H318" s="3"/>
    </row>
    <row r="319" spans="1:8" ht="15.75" x14ac:dyDescent="0.25">
      <c r="A319" s="1" t="s">
        <v>191</v>
      </c>
      <c r="B319">
        <v>72747</v>
      </c>
      <c r="C319" t="s">
        <v>457</v>
      </c>
      <c r="D319" t="s">
        <v>777</v>
      </c>
      <c r="E319" t="s">
        <v>1151</v>
      </c>
      <c r="G319">
        <v>6</v>
      </c>
      <c r="H319" s="3"/>
    </row>
    <row r="320" spans="1:8" ht="15.75" x14ac:dyDescent="0.25">
      <c r="A320" s="1" t="s">
        <v>191</v>
      </c>
      <c r="B320">
        <v>74225</v>
      </c>
      <c r="C320" t="s">
        <v>458</v>
      </c>
      <c r="D320" t="s">
        <v>778</v>
      </c>
      <c r="E320" t="s">
        <v>1152</v>
      </c>
      <c r="G320">
        <v>6</v>
      </c>
      <c r="H320" s="3"/>
    </row>
    <row r="321" spans="1:8" ht="15.75" x14ac:dyDescent="0.25">
      <c r="A321" s="1" t="s">
        <v>192</v>
      </c>
      <c r="B321">
        <v>954</v>
      </c>
      <c r="C321" t="s">
        <v>459</v>
      </c>
      <c r="D321" t="s">
        <v>779</v>
      </c>
      <c r="E321" t="s">
        <v>1153</v>
      </c>
      <c r="G321">
        <v>8</v>
      </c>
      <c r="H321" s="3"/>
    </row>
    <row r="322" spans="1:8" ht="15.75" x14ac:dyDescent="0.25">
      <c r="A322" s="1" t="s">
        <v>192</v>
      </c>
      <c r="B322">
        <v>4900</v>
      </c>
      <c r="C322" t="s">
        <v>484</v>
      </c>
      <c r="D322" t="s">
        <v>780</v>
      </c>
      <c r="E322" t="s">
        <v>1154</v>
      </c>
      <c r="G322">
        <v>9</v>
      </c>
      <c r="H322" s="3"/>
    </row>
    <row r="323" spans="1:8" ht="15.75" x14ac:dyDescent="0.25">
      <c r="A323" s="1" t="s">
        <v>192</v>
      </c>
      <c r="B323">
        <v>6794</v>
      </c>
      <c r="C323" t="s">
        <v>485</v>
      </c>
      <c r="D323" t="s">
        <v>781</v>
      </c>
      <c r="E323" t="s">
        <v>1155</v>
      </c>
      <c r="G323">
        <v>5</v>
      </c>
      <c r="H323" s="3"/>
    </row>
    <row r="324" spans="1:8" ht="15.75" x14ac:dyDescent="0.25">
      <c r="A324" s="1" t="s">
        <v>192</v>
      </c>
      <c r="B324">
        <v>8503</v>
      </c>
      <c r="C324" t="s">
        <v>486</v>
      </c>
      <c r="D324" t="s">
        <v>782</v>
      </c>
      <c r="E324" t="s">
        <v>1156</v>
      </c>
      <c r="G324">
        <v>10</v>
      </c>
      <c r="H324" s="3"/>
    </row>
    <row r="325" spans="1:8" ht="15.75" x14ac:dyDescent="0.25">
      <c r="A325" s="1" t="s">
        <v>192</v>
      </c>
      <c r="B325">
        <v>8785</v>
      </c>
      <c r="C325" t="s">
        <v>487</v>
      </c>
      <c r="D325" t="s">
        <v>783</v>
      </c>
      <c r="E325" t="s">
        <v>1157</v>
      </c>
      <c r="G325">
        <v>10</v>
      </c>
      <c r="H325" s="3"/>
    </row>
    <row r="326" spans="1:8" ht="15.75" x14ac:dyDescent="0.25">
      <c r="A326" s="1" t="s">
        <v>192</v>
      </c>
      <c r="B326">
        <v>18589</v>
      </c>
      <c r="C326" t="s">
        <v>488</v>
      </c>
      <c r="D326" t="s">
        <v>784</v>
      </c>
      <c r="E326" t="s">
        <v>1158</v>
      </c>
      <c r="G326">
        <v>5</v>
      </c>
      <c r="H326" s="3"/>
    </row>
    <row r="327" spans="1:8" ht="15.75" x14ac:dyDescent="0.25">
      <c r="A327" s="1" t="s">
        <v>192</v>
      </c>
      <c r="B327">
        <v>24317</v>
      </c>
      <c r="C327" t="s">
        <v>489</v>
      </c>
      <c r="D327" t="s">
        <v>785</v>
      </c>
      <c r="E327" t="s">
        <v>1159</v>
      </c>
      <c r="G327">
        <v>9</v>
      </c>
      <c r="H327" s="3"/>
    </row>
    <row r="328" spans="1:8" ht="15.75" x14ac:dyDescent="0.25">
      <c r="A328" s="1" t="s">
        <v>192</v>
      </c>
      <c r="B328">
        <v>37891</v>
      </c>
      <c r="C328" t="s">
        <v>490</v>
      </c>
      <c r="D328" t="s">
        <v>786</v>
      </c>
      <c r="E328" t="s">
        <v>1160</v>
      </c>
      <c r="G328">
        <v>10</v>
      </c>
      <c r="H328" s="3"/>
    </row>
    <row r="329" spans="1:8" ht="15.75" x14ac:dyDescent="0.25">
      <c r="A329" s="1" t="s">
        <v>192</v>
      </c>
      <c r="B329">
        <v>47438</v>
      </c>
      <c r="C329" t="s">
        <v>491</v>
      </c>
      <c r="D329" t="s">
        <v>787</v>
      </c>
      <c r="E329" t="s">
        <v>1161</v>
      </c>
      <c r="G329">
        <v>9</v>
      </c>
      <c r="H329" s="3"/>
    </row>
    <row r="330" spans="1:8" ht="15.75" x14ac:dyDescent="0.25">
      <c r="A330" s="1" t="s">
        <v>192</v>
      </c>
      <c r="B330">
        <v>54416</v>
      </c>
      <c r="C330" t="s">
        <v>492</v>
      </c>
      <c r="D330" t="s">
        <v>788</v>
      </c>
      <c r="E330" t="s">
        <v>1162</v>
      </c>
      <c r="G330">
        <v>6</v>
      </c>
      <c r="H330" s="3"/>
    </row>
    <row r="331" spans="1:8" ht="15.75" x14ac:dyDescent="0.25">
      <c r="A331" s="1" t="s">
        <v>192</v>
      </c>
      <c r="B331">
        <v>58854</v>
      </c>
      <c r="C331" t="s">
        <v>493</v>
      </c>
      <c r="D331" t="s">
        <v>789</v>
      </c>
      <c r="E331" t="s">
        <v>1163</v>
      </c>
      <c r="G331">
        <v>6</v>
      </c>
      <c r="H331" s="3"/>
    </row>
    <row r="332" spans="1:8" ht="15.75" x14ac:dyDescent="0.25">
      <c r="A332" s="1" t="s">
        <v>192</v>
      </c>
      <c r="B332">
        <v>60205</v>
      </c>
      <c r="C332" t="s">
        <v>494</v>
      </c>
      <c r="D332" t="s">
        <v>790</v>
      </c>
      <c r="E332" t="s">
        <v>1164</v>
      </c>
      <c r="G332">
        <v>10</v>
      </c>
      <c r="H332" s="3"/>
    </row>
    <row r="333" spans="1:8" ht="15.75" x14ac:dyDescent="0.25">
      <c r="A333" s="1" t="s">
        <v>192</v>
      </c>
      <c r="B333">
        <v>60272</v>
      </c>
      <c r="C333" t="s">
        <v>495</v>
      </c>
      <c r="D333" t="s">
        <v>791</v>
      </c>
      <c r="E333" t="s">
        <v>1165</v>
      </c>
      <c r="G333">
        <v>10</v>
      </c>
      <c r="H333" s="3"/>
    </row>
    <row r="334" spans="1:8" ht="15.75" x14ac:dyDescent="0.25">
      <c r="A334" s="1" t="s">
        <v>192</v>
      </c>
      <c r="B334">
        <v>62726</v>
      </c>
      <c r="C334" t="s">
        <v>496</v>
      </c>
      <c r="D334" t="s">
        <v>792</v>
      </c>
      <c r="E334" t="s">
        <v>1166</v>
      </c>
      <c r="G334">
        <v>6</v>
      </c>
      <c r="H334" s="3"/>
    </row>
    <row r="335" spans="1:8" ht="15.75" x14ac:dyDescent="0.25">
      <c r="A335" s="1" t="s">
        <v>192</v>
      </c>
      <c r="B335">
        <v>64893</v>
      </c>
      <c r="C335" t="s">
        <v>497</v>
      </c>
      <c r="D335" t="s">
        <v>793</v>
      </c>
      <c r="E335" t="s">
        <v>1167</v>
      </c>
      <c r="G335">
        <v>7</v>
      </c>
      <c r="H335" s="3"/>
    </row>
    <row r="336" spans="1:8" ht="15.75" x14ac:dyDescent="0.25">
      <c r="A336" s="1" t="s">
        <v>192</v>
      </c>
      <c r="B336">
        <v>69117</v>
      </c>
      <c r="C336" t="s">
        <v>498</v>
      </c>
      <c r="D336" t="s">
        <v>794</v>
      </c>
      <c r="E336" t="s">
        <v>1168</v>
      </c>
      <c r="G336">
        <v>6</v>
      </c>
      <c r="H336" s="3"/>
    </row>
    <row r="337" spans="1:8" ht="15.75" x14ac:dyDescent="0.25">
      <c r="A337" s="1" t="s">
        <v>192</v>
      </c>
      <c r="B337">
        <v>70513</v>
      </c>
      <c r="C337" t="s">
        <v>499</v>
      </c>
      <c r="D337" t="s">
        <v>795</v>
      </c>
      <c r="E337" t="s">
        <v>1169</v>
      </c>
      <c r="G337">
        <v>7</v>
      </c>
      <c r="H337" s="3"/>
    </row>
    <row r="338" spans="1:8" ht="15.75" x14ac:dyDescent="0.25">
      <c r="A338" s="1" t="s">
        <v>192</v>
      </c>
      <c r="B338">
        <v>70562</v>
      </c>
      <c r="C338" t="s">
        <v>500</v>
      </c>
      <c r="D338" t="s">
        <v>796</v>
      </c>
      <c r="E338" t="s">
        <v>1170</v>
      </c>
      <c r="G338">
        <v>5</v>
      </c>
      <c r="H338" s="3"/>
    </row>
    <row r="339" spans="1:8" ht="15.75" x14ac:dyDescent="0.25">
      <c r="A339" s="1" t="s">
        <v>192</v>
      </c>
      <c r="B339">
        <v>24578</v>
      </c>
      <c r="C339" t="s">
        <v>501</v>
      </c>
      <c r="D339" t="s">
        <v>797</v>
      </c>
      <c r="G339">
        <v>9</v>
      </c>
      <c r="H339" s="3"/>
    </row>
    <row r="340" spans="1:8" ht="15.75" x14ac:dyDescent="0.25">
      <c r="A340" s="1" t="s">
        <v>192</v>
      </c>
      <c r="B340">
        <v>63622</v>
      </c>
      <c r="C340" t="s">
        <v>502</v>
      </c>
      <c r="D340" t="s">
        <v>798</v>
      </c>
      <c r="G340">
        <v>6</v>
      </c>
      <c r="H340" s="3"/>
    </row>
    <row r="341" spans="1:8" ht="15.75" x14ac:dyDescent="0.25">
      <c r="A341" s="1" t="s">
        <v>192</v>
      </c>
      <c r="B341">
        <v>65936</v>
      </c>
      <c r="C341" t="s">
        <v>503</v>
      </c>
      <c r="D341" t="s">
        <v>799</v>
      </c>
      <c r="G341">
        <v>6</v>
      </c>
      <c r="H341" s="3"/>
    </row>
    <row r="342" spans="1:8" ht="15.75" x14ac:dyDescent="0.25">
      <c r="A342" s="1" t="s">
        <v>192</v>
      </c>
      <c r="B342">
        <v>65937</v>
      </c>
      <c r="C342" t="s">
        <v>504</v>
      </c>
      <c r="D342" t="s">
        <v>800</v>
      </c>
      <c r="G342">
        <v>6</v>
      </c>
      <c r="H342" s="3"/>
    </row>
    <row r="343" spans="1:8" ht="15.75" x14ac:dyDescent="0.25">
      <c r="A343" s="1" t="s">
        <v>192</v>
      </c>
      <c r="B343">
        <v>72446</v>
      </c>
      <c r="C343" t="s">
        <v>505</v>
      </c>
      <c r="D343" t="s">
        <v>801</v>
      </c>
      <c r="G343">
        <v>3</v>
      </c>
      <c r="H343" s="3"/>
    </row>
    <row r="344" spans="1:8" ht="15.75" x14ac:dyDescent="0.25">
      <c r="A344" s="1" t="s">
        <v>192</v>
      </c>
      <c r="B344">
        <v>72465</v>
      </c>
      <c r="C344" t="s">
        <v>506</v>
      </c>
      <c r="D344" t="s">
        <v>776</v>
      </c>
      <c r="G344">
        <v>3</v>
      </c>
      <c r="H344" s="3"/>
    </row>
    <row r="345" spans="1:8" ht="15.75" x14ac:dyDescent="0.25">
      <c r="A345" t="s">
        <v>193</v>
      </c>
      <c r="B345">
        <v>8806</v>
      </c>
      <c r="C345" t="s">
        <v>507</v>
      </c>
      <c r="D345" t="s">
        <v>803</v>
      </c>
      <c r="G345">
        <v>10</v>
      </c>
      <c r="H345" s="3"/>
    </row>
    <row r="346" spans="1:8" ht="15.75" x14ac:dyDescent="0.25">
      <c r="A346" t="s">
        <v>193</v>
      </c>
      <c r="B346">
        <v>8810</v>
      </c>
      <c r="C346" t="s">
        <v>508</v>
      </c>
      <c r="D346" t="s">
        <v>53</v>
      </c>
      <c r="G346">
        <v>10</v>
      </c>
      <c r="H346" s="3"/>
    </row>
    <row r="347" spans="1:8" ht="15.75" x14ac:dyDescent="0.25">
      <c r="A347" t="s">
        <v>193</v>
      </c>
      <c r="B347">
        <v>8811</v>
      </c>
      <c r="C347" t="s">
        <v>509</v>
      </c>
      <c r="D347" t="s">
        <v>53</v>
      </c>
      <c r="G347">
        <v>10</v>
      </c>
      <c r="H347" s="3"/>
    </row>
    <row r="348" spans="1:8" ht="15.75" x14ac:dyDescent="0.25">
      <c r="A348" t="s">
        <v>193</v>
      </c>
      <c r="B348">
        <v>8813</v>
      </c>
      <c r="C348" t="s">
        <v>510</v>
      </c>
      <c r="D348" t="s">
        <v>53</v>
      </c>
      <c r="G348">
        <v>10</v>
      </c>
      <c r="H348" s="3"/>
    </row>
    <row r="349" spans="1:8" ht="15.75" x14ac:dyDescent="0.25">
      <c r="A349" t="s">
        <v>193</v>
      </c>
      <c r="B349">
        <v>8816</v>
      </c>
      <c r="C349" t="s">
        <v>511</v>
      </c>
      <c r="D349" t="s">
        <v>53</v>
      </c>
      <c r="G349">
        <v>9</v>
      </c>
      <c r="H349" s="3"/>
    </row>
    <row r="350" spans="1:8" ht="15.75" x14ac:dyDescent="0.25">
      <c r="A350" t="s">
        <v>193</v>
      </c>
      <c r="B350">
        <v>39748</v>
      </c>
      <c r="C350" t="s">
        <v>496</v>
      </c>
      <c r="D350" t="s">
        <v>54</v>
      </c>
      <c r="G350">
        <v>4</v>
      </c>
      <c r="H350" s="3"/>
    </row>
    <row r="351" spans="1:8" ht="15.75" x14ac:dyDescent="0.25">
      <c r="A351" t="s">
        <v>193</v>
      </c>
      <c r="B351">
        <v>53121</v>
      </c>
      <c r="C351" t="s">
        <v>497</v>
      </c>
      <c r="D351" t="s">
        <v>53</v>
      </c>
      <c r="G351">
        <v>10</v>
      </c>
      <c r="H351" s="3"/>
    </row>
    <row r="352" spans="1:8" ht="15.75" x14ac:dyDescent="0.25">
      <c r="A352" t="s">
        <v>193</v>
      </c>
      <c r="B352">
        <v>71722</v>
      </c>
      <c r="C352" t="s">
        <v>498</v>
      </c>
      <c r="D352" t="s">
        <v>55</v>
      </c>
      <c r="G352">
        <v>8</v>
      </c>
      <c r="H352" s="3"/>
    </row>
    <row r="353" spans="1:8" ht="15.75" x14ac:dyDescent="0.25">
      <c r="A353" t="s">
        <v>193</v>
      </c>
      <c r="B353">
        <v>8804</v>
      </c>
      <c r="C353" t="s">
        <v>499</v>
      </c>
      <c r="D353" t="s">
        <v>53</v>
      </c>
      <c r="G353">
        <v>10</v>
      </c>
      <c r="H353" s="3"/>
    </row>
    <row r="354" spans="1:8" ht="15.75" x14ac:dyDescent="0.25">
      <c r="A354" t="s">
        <v>193</v>
      </c>
      <c r="B354">
        <v>8807</v>
      </c>
      <c r="C354" t="s">
        <v>500</v>
      </c>
      <c r="D354" t="s">
        <v>53</v>
      </c>
      <c r="G354">
        <v>10</v>
      </c>
      <c r="H354" s="3"/>
    </row>
    <row r="355" spans="1:8" ht="15.75" x14ac:dyDescent="0.25">
      <c r="A355" t="s">
        <v>193</v>
      </c>
      <c r="B355">
        <v>8808</v>
      </c>
      <c r="C355" t="s">
        <v>501</v>
      </c>
      <c r="D355" t="s">
        <v>53</v>
      </c>
      <c r="G355">
        <v>8</v>
      </c>
      <c r="H355" s="3"/>
    </row>
    <row r="356" spans="1:8" ht="15.75" x14ac:dyDescent="0.25">
      <c r="A356" t="s">
        <v>193</v>
      </c>
      <c r="B356">
        <v>53122</v>
      </c>
      <c r="C356" t="s">
        <v>502</v>
      </c>
      <c r="D356" t="s">
        <v>53</v>
      </c>
      <c r="G356">
        <v>9</v>
      </c>
      <c r="H356" s="3"/>
    </row>
    <row r="357" spans="1:8" ht="15.75" x14ac:dyDescent="0.25">
      <c r="A357" t="s">
        <v>193</v>
      </c>
      <c r="B357">
        <v>60627</v>
      </c>
      <c r="C357" t="s">
        <v>503</v>
      </c>
      <c r="D357" t="s">
        <v>56</v>
      </c>
      <c r="G357">
        <v>5</v>
      </c>
      <c r="H357" s="3"/>
    </row>
    <row r="358" spans="1:8" ht="15.75" x14ac:dyDescent="0.25">
      <c r="A358" t="s">
        <v>193</v>
      </c>
      <c r="B358">
        <v>65299</v>
      </c>
      <c r="C358" t="s">
        <v>504</v>
      </c>
      <c r="D358" t="s">
        <v>57</v>
      </c>
      <c r="G358">
        <v>5</v>
      </c>
      <c r="H358" s="3"/>
    </row>
    <row r="359" spans="1:8" ht="15.75" x14ac:dyDescent="0.25">
      <c r="A359" t="s">
        <v>193</v>
      </c>
      <c r="B359">
        <v>65573</v>
      </c>
      <c r="C359" t="s">
        <v>505</v>
      </c>
      <c r="D359" t="s">
        <v>58</v>
      </c>
      <c r="G359">
        <v>10</v>
      </c>
      <c r="H359" s="3"/>
    </row>
    <row r="360" spans="1:8" ht="15.75" x14ac:dyDescent="0.25">
      <c r="A360" t="s">
        <v>193</v>
      </c>
      <c r="B360">
        <v>65950</v>
      </c>
      <c r="C360" t="s">
        <v>506</v>
      </c>
      <c r="D360" t="s">
        <v>59</v>
      </c>
      <c r="G360">
        <v>7</v>
      </c>
      <c r="H360" s="3"/>
    </row>
    <row r="361" spans="1:8" ht="15.75" x14ac:dyDescent="0.25">
      <c r="A361" t="s">
        <v>193</v>
      </c>
      <c r="B361">
        <v>65951</v>
      </c>
      <c r="C361" t="s">
        <v>507</v>
      </c>
      <c r="D361" t="s">
        <v>60</v>
      </c>
      <c r="G361">
        <v>7</v>
      </c>
      <c r="H361" s="3"/>
    </row>
    <row r="362" spans="1:8" ht="15.75" x14ac:dyDescent="0.25">
      <c r="A362" t="s">
        <v>193</v>
      </c>
      <c r="B362">
        <v>71724</v>
      </c>
      <c r="C362" t="s">
        <v>508</v>
      </c>
      <c r="D362" t="s">
        <v>61</v>
      </c>
      <c r="G362">
        <v>6</v>
      </c>
      <c r="H362" s="3"/>
    </row>
    <row r="363" spans="1:8" ht="15.75" x14ac:dyDescent="0.25">
      <c r="A363" t="s">
        <v>193</v>
      </c>
      <c r="B363">
        <v>73096</v>
      </c>
      <c r="C363" t="s">
        <v>509</v>
      </c>
      <c r="D363" t="s">
        <v>62</v>
      </c>
      <c r="G363">
        <v>10</v>
      </c>
      <c r="H363" s="3"/>
    </row>
    <row r="364" spans="1:8" ht="15.75" x14ac:dyDescent="0.25">
      <c r="A364" s="1" t="s">
        <v>194</v>
      </c>
      <c r="B364">
        <v>37683</v>
      </c>
      <c r="C364" t="s">
        <v>510</v>
      </c>
      <c r="D364" t="s">
        <v>63</v>
      </c>
      <c r="G364">
        <v>8</v>
      </c>
      <c r="H364" s="3"/>
    </row>
    <row r="365" spans="1:8" ht="15.75" x14ac:dyDescent="0.25">
      <c r="A365" s="1" t="s">
        <v>194</v>
      </c>
      <c r="B365">
        <v>38242</v>
      </c>
      <c r="C365" t="s">
        <v>511</v>
      </c>
      <c r="D365" t="s">
        <v>64</v>
      </c>
      <c r="G365">
        <v>10</v>
      </c>
      <c r="H365" s="3"/>
    </row>
    <row r="366" spans="1:8" ht="15.75" x14ac:dyDescent="0.25">
      <c r="A366" s="1" t="s">
        <v>194</v>
      </c>
      <c r="B366">
        <v>51652</v>
      </c>
      <c r="C366" t="s">
        <v>496</v>
      </c>
      <c r="D366" t="s">
        <v>65</v>
      </c>
      <c r="G366">
        <v>8</v>
      </c>
      <c r="H366" s="3"/>
    </row>
    <row r="367" spans="1:8" ht="15.75" x14ac:dyDescent="0.25">
      <c r="A367" s="1" t="s">
        <v>194</v>
      </c>
      <c r="B367">
        <v>53446</v>
      </c>
      <c r="C367" t="s">
        <v>497</v>
      </c>
      <c r="D367" t="s">
        <v>66</v>
      </c>
      <c r="G367">
        <v>6</v>
      </c>
      <c r="H367" s="3"/>
    </row>
    <row r="368" spans="1:8" ht="15.75" x14ac:dyDescent="0.25">
      <c r="A368" s="1" t="s">
        <v>194</v>
      </c>
      <c r="B368">
        <v>53450</v>
      </c>
      <c r="C368" t="s">
        <v>498</v>
      </c>
      <c r="D368" t="s">
        <v>67</v>
      </c>
      <c r="G368">
        <v>6</v>
      </c>
      <c r="H368" s="3"/>
    </row>
    <row r="369" spans="1:8" ht="15.75" x14ac:dyDescent="0.25">
      <c r="A369" s="1" t="s">
        <v>194</v>
      </c>
      <c r="B369">
        <v>57671</v>
      </c>
      <c r="C369" t="s">
        <v>499</v>
      </c>
      <c r="D369" t="s">
        <v>68</v>
      </c>
      <c r="G369">
        <v>7</v>
      </c>
      <c r="H369" s="3"/>
    </row>
    <row r="370" spans="1:8" ht="15.75" x14ac:dyDescent="0.25">
      <c r="A370" s="1" t="s">
        <v>194</v>
      </c>
      <c r="B370">
        <v>57675</v>
      </c>
      <c r="C370" t="s">
        <v>500</v>
      </c>
      <c r="D370" t="s">
        <v>69</v>
      </c>
      <c r="G370">
        <v>5</v>
      </c>
      <c r="H370" s="3"/>
    </row>
    <row r="371" spans="1:8" ht="15.75" x14ac:dyDescent="0.25">
      <c r="A371" s="1" t="s">
        <v>194</v>
      </c>
      <c r="B371">
        <v>66989</v>
      </c>
      <c r="C371" t="s">
        <v>501</v>
      </c>
      <c r="D371" t="s">
        <v>70</v>
      </c>
      <c r="G371">
        <v>10</v>
      </c>
      <c r="H371" s="3"/>
    </row>
    <row r="372" spans="1:8" ht="15.75" x14ac:dyDescent="0.25">
      <c r="A372" s="1" t="s">
        <v>194</v>
      </c>
      <c r="B372">
        <v>71584</v>
      </c>
      <c r="C372" t="s">
        <v>512</v>
      </c>
      <c r="D372" t="s">
        <v>71</v>
      </c>
      <c r="G372">
        <v>3</v>
      </c>
      <c r="H372" s="3"/>
    </row>
    <row r="373" spans="1:8" ht="15.75" x14ac:dyDescent="0.25">
      <c r="A373" s="1" t="s">
        <v>194</v>
      </c>
      <c r="B373">
        <v>74368</v>
      </c>
      <c r="C373" t="s">
        <v>513</v>
      </c>
      <c r="D373" t="s">
        <v>72</v>
      </c>
      <c r="G373">
        <v>10</v>
      </c>
      <c r="H373" s="3"/>
    </row>
    <row r="374" spans="1:8" ht="15.75" x14ac:dyDescent="0.25">
      <c r="A374" s="1" t="s">
        <v>194</v>
      </c>
      <c r="B374">
        <v>6348</v>
      </c>
      <c r="C374" t="s">
        <v>514</v>
      </c>
      <c r="D374" t="s">
        <v>73</v>
      </c>
      <c r="G374">
        <v>10</v>
      </c>
      <c r="H374" s="3"/>
    </row>
    <row r="375" spans="1:8" ht="15.75" x14ac:dyDescent="0.25">
      <c r="A375" s="1" t="s">
        <v>194</v>
      </c>
      <c r="B375">
        <v>35054</v>
      </c>
      <c r="C375" t="s">
        <v>515</v>
      </c>
      <c r="D375" t="s">
        <v>74</v>
      </c>
      <c r="G375">
        <v>7</v>
      </c>
      <c r="H375" s="3"/>
    </row>
    <row r="376" spans="1:8" ht="15.75" x14ac:dyDescent="0.25">
      <c r="A376" s="1" t="s">
        <v>194</v>
      </c>
      <c r="B376">
        <v>38238</v>
      </c>
      <c r="C376" t="s">
        <v>516</v>
      </c>
      <c r="D376" t="s">
        <v>75</v>
      </c>
      <c r="G376">
        <v>9</v>
      </c>
      <c r="H376" s="3"/>
    </row>
    <row r="377" spans="1:8" ht="15.75" x14ac:dyDescent="0.25">
      <c r="A377" s="1" t="s">
        <v>194</v>
      </c>
      <c r="B377">
        <v>46140</v>
      </c>
      <c r="C377" t="s">
        <v>517</v>
      </c>
      <c r="D377" t="s">
        <v>76</v>
      </c>
      <c r="G377">
        <v>3</v>
      </c>
      <c r="H377" s="3"/>
    </row>
    <row r="378" spans="1:8" ht="15.75" x14ac:dyDescent="0.25">
      <c r="A378" s="1" t="s">
        <v>194</v>
      </c>
      <c r="B378">
        <v>47030</v>
      </c>
      <c r="C378" t="s">
        <v>303</v>
      </c>
      <c r="D378" t="s">
        <v>77</v>
      </c>
      <c r="G378">
        <v>6</v>
      </c>
      <c r="H378" s="3"/>
    </row>
    <row r="379" spans="1:8" ht="15.75" x14ac:dyDescent="0.25">
      <c r="A379" s="1" t="s">
        <v>194</v>
      </c>
      <c r="B379">
        <v>52367</v>
      </c>
      <c r="C379" t="s">
        <v>518</v>
      </c>
      <c r="D379" t="s">
        <v>74</v>
      </c>
      <c r="G379">
        <v>7</v>
      </c>
      <c r="H379" s="3"/>
    </row>
    <row r="380" spans="1:8" ht="15.75" x14ac:dyDescent="0.25">
      <c r="A380" s="1" t="s">
        <v>194</v>
      </c>
      <c r="B380">
        <v>58638</v>
      </c>
      <c r="C380" t="s">
        <v>519</v>
      </c>
      <c r="D380" t="s">
        <v>78</v>
      </c>
      <c r="G380">
        <v>10</v>
      </c>
      <c r="H380" s="3"/>
    </row>
    <row r="381" spans="1:8" ht="15.75" x14ac:dyDescent="0.25">
      <c r="A381" s="1" t="s">
        <v>194</v>
      </c>
      <c r="B381">
        <v>60463</v>
      </c>
      <c r="C381" t="s">
        <v>225</v>
      </c>
      <c r="D381" t="s">
        <v>79</v>
      </c>
      <c r="G381">
        <v>7</v>
      </c>
      <c r="H381" s="3"/>
    </row>
    <row r="382" spans="1:8" ht="15.75" x14ac:dyDescent="0.25">
      <c r="A382" s="1" t="s">
        <v>194</v>
      </c>
      <c r="B382">
        <v>60911</v>
      </c>
      <c r="C382" t="s">
        <v>520</v>
      </c>
      <c r="D382" t="s">
        <v>80</v>
      </c>
      <c r="G382">
        <v>6</v>
      </c>
      <c r="H382" s="3"/>
    </row>
    <row r="383" spans="1:8" ht="15.75" x14ac:dyDescent="0.25">
      <c r="A383" s="1" t="s">
        <v>194</v>
      </c>
      <c r="B383">
        <v>61072</v>
      </c>
      <c r="C383" t="s">
        <v>521</v>
      </c>
      <c r="D383" t="s">
        <v>81</v>
      </c>
      <c r="G383">
        <v>7</v>
      </c>
      <c r="H383" s="3"/>
    </row>
    <row r="384" spans="1:8" ht="15.75" x14ac:dyDescent="0.25">
      <c r="A384" s="1" t="s">
        <v>194</v>
      </c>
      <c r="B384">
        <v>66042</v>
      </c>
      <c r="C384" t="s">
        <v>522</v>
      </c>
      <c r="D384" t="s">
        <v>71</v>
      </c>
      <c r="G384">
        <v>7</v>
      </c>
      <c r="H384" s="3"/>
    </row>
    <row r="385" spans="1:8" ht="15.75" x14ac:dyDescent="0.25">
      <c r="A385" s="1" t="s">
        <v>194</v>
      </c>
      <c r="B385">
        <v>67160</v>
      </c>
      <c r="C385" t="s">
        <v>296</v>
      </c>
      <c r="D385" t="s">
        <v>81</v>
      </c>
      <c r="G385">
        <v>7</v>
      </c>
      <c r="H385" s="3"/>
    </row>
    <row r="386" spans="1:8" ht="15.75" x14ac:dyDescent="0.25">
      <c r="A386" s="1" t="s">
        <v>194</v>
      </c>
      <c r="B386">
        <v>70384</v>
      </c>
      <c r="C386" t="s">
        <v>523</v>
      </c>
      <c r="D386" t="s">
        <v>82</v>
      </c>
      <c r="G386">
        <v>7</v>
      </c>
      <c r="H386" s="3"/>
    </row>
    <row r="387" spans="1:8" ht="15.75" x14ac:dyDescent="0.25">
      <c r="A387" s="1" t="s">
        <v>194</v>
      </c>
      <c r="B387">
        <v>71084</v>
      </c>
      <c r="C387" t="s">
        <v>524</v>
      </c>
      <c r="D387" t="s">
        <v>83</v>
      </c>
      <c r="G387">
        <v>5</v>
      </c>
      <c r="H387" s="3"/>
    </row>
    <row r="388" spans="1:8" ht="15.75" x14ac:dyDescent="0.25">
      <c r="A388" s="1" t="s">
        <v>194</v>
      </c>
      <c r="B388">
        <v>71585</v>
      </c>
      <c r="C388" t="s">
        <v>525</v>
      </c>
      <c r="D388" t="s">
        <v>71</v>
      </c>
      <c r="G388">
        <v>5</v>
      </c>
      <c r="H388" s="3"/>
    </row>
    <row r="389" spans="1:8" ht="15.75" x14ac:dyDescent="0.25">
      <c r="A389" s="1" t="s">
        <v>194</v>
      </c>
      <c r="B389">
        <v>74378</v>
      </c>
      <c r="C389" t="s">
        <v>526</v>
      </c>
      <c r="D389" t="s">
        <v>84</v>
      </c>
      <c r="G389">
        <v>2</v>
      </c>
      <c r="H389" s="3"/>
    </row>
    <row r="390" spans="1:8" ht="15.75" x14ac:dyDescent="0.25">
      <c r="A390" s="1" t="s">
        <v>195</v>
      </c>
      <c r="B390">
        <v>9021</v>
      </c>
      <c r="C390" t="s">
        <v>527</v>
      </c>
      <c r="D390" t="s">
        <v>85</v>
      </c>
      <c r="G390">
        <v>10</v>
      </c>
      <c r="H390" s="3"/>
    </row>
    <row r="391" spans="1:8" ht="15.75" x14ac:dyDescent="0.25">
      <c r="A391" s="1" t="s">
        <v>195</v>
      </c>
      <c r="B391">
        <v>62149</v>
      </c>
      <c r="C391" t="s">
        <v>207</v>
      </c>
      <c r="D391" t="s">
        <v>86</v>
      </c>
      <c r="G391">
        <v>10</v>
      </c>
      <c r="H391" s="3"/>
    </row>
    <row r="392" spans="1:8" ht="15.75" x14ac:dyDescent="0.25">
      <c r="A392" s="1" t="s">
        <v>195</v>
      </c>
      <c r="B392">
        <v>62706</v>
      </c>
      <c r="C392" t="s">
        <v>528</v>
      </c>
      <c r="D392" t="s">
        <v>74</v>
      </c>
      <c r="G392">
        <v>7</v>
      </c>
      <c r="H392" s="3"/>
    </row>
    <row r="393" spans="1:8" ht="15.75" x14ac:dyDescent="0.25">
      <c r="A393" s="1" t="s">
        <v>195</v>
      </c>
      <c r="B393">
        <v>73002</v>
      </c>
      <c r="C393" t="s">
        <v>529</v>
      </c>
      <c r="D393" t="s">
        <v>87</v>
      </c>
      <c r="G393">
        <v>5</v>
      </c>
      <c r="H393" s="3"/>
    </row>
    <row r="394" spans="1:8" ht="15.75" x14ac:dyDescent="0.25">
      <c r="A394" s="1" t="s">
        <v>195</v>
      </c>
      <c r="B394">
        <v>73106</v>
      </c>
      <c r="C394" t="s">
        <v>530</v>
      </c>
      <c r="D394" t="s">
        <v>88</v>
      </c>
      <c r="G394">
        <v>9</v>
      </c>
      <c r="H394" s="3"/>
    </row>
    <row r="395" spans="1:8" ht="15.75" x14ac:dyDescent="0.25">
      <c r="A395" s="1" t="s">
        <v>195</v>
      </c>
      <c r="B395">
        <v>24277</v>
      </c>
      <c r="C395" t="s">
        <v>531</v>
      </c>
      <c r="D395" t="s">
        <v>89</v>
      </c>
      <c r="G395">
        <v>6</v>
      </c>
      <c r="H395" s="3"/>
    </row>
    <row r="396" spans="1:8" ht="15.75" x14ac:dyDescent="0.25">
      <c r="A396" s="1" t="s">
        <v>195</v>
      </c>
      <c r="B396">
        <v>26034</v>
      </c>
      <c r="C396" t="s">
        <v>532</v>
      </c>
      <c r="D396" t="s">
        <v>74</v>
      </c>
      <c r="G396">
        <v>7</v>
      </c>
      <c r="H396" s="3"/>
    </row>
    <row r="397" spans="1:8" ht="15.75" x14ac:dyDescent="0.25">
      <c r="A397" s="1" t="s">
        <v>195</v>
      </c>
      <c r="B397">
        <v>60801</v>
      </c>
      <c r="C397" t="s">
        <v>533</v>
      </c>
      <c r="D397" t="s">
        <v>90</v>
      </c>
      <c r="G397">
        <v>6</v>
      </c>
      <c r="H397" s="3"/>
    </row>
    <row r="398" spans="1:8" ht="15.75" x14ac:dyDescent="0.25">
      <c r="A398" s="1" t="s">
        <v>195</v>
      </c>
      <c r="B398">
        <v>67083</v>
      </c>
      <c r="C398" t="s">
        <v>534</v>
      </c>
      <c r="D398" t="s">
        <v>86</v>
      </c>
      <c r="G398">
        <v>8</v>
      </c>
      <c r="H398" s="3"/>
    </row>
    <row r="399" spans="1:8" ht="15.75" x14ac:dyDescent="0.25">
      <c r="A399" s="1" t="s">
        <v>195</v>
      </c>
      <c r="B399">
        <v>67801</v>
      </c>
      <c r="C399" t="s">
        <v>535</v>
      </c>
      <c r="D399" t="s">
        <v>91</v>
      </c>
      <c r="G399">
        <v>4</v>
      </c>
      <c r="H399" s="3"/>
    </row>
    <row r="400" spans="1:8" ht="15.75" x14ac:dyDescent="0.25">
      <c r="A400" s="1" t="s">
        <v>195</v>
      </c>
      <c r="B400">
        <v>68850</v>
      </c>
      <c r="C400" t="s">
        <v>518</v>
      </c>
      <c r="D400" t="s">
        <v>87</v>
      </c>
      <c r="G400">
        <v>4</v>
      </c>
      <c r="H400" s="3"/>
    </row>
    <row r="401" spans="1:8" ht="15.75" x14ac:dyDescent="0.25">
      <c r="A401" s="1" t="s">
        <v>195</v>
      </c>
      <c r="B401">
        <v>71673</v>
      </c>
      <c r="C401" t="s">
        <v>516</v>
      </c>
      <c r="D401" t="s">
        <v>92</v>
      </c>
      <c r="G401">
        <v>10</v>
      </c>
      <c r="H401" s="3"/>
    </row>
    <row r="402" spans="1:8" ht="15.75" x14ac:dyDescent="0.25">
      <c r="A402" s="1" t="s">
        <v>196</v>
      </c>
      <c r="B402">
        <v>52542</v>
      </c>
      <c r="C402" t="s">
        <v>517</v>
      </c>
      <c r="D402" t="s">
        <v>93</v>
      </c>
      <c r="G402">
        <v>6</v>
      </c>
      <c r="H402" s="3"/>
    </row>
    <row r="403" spans="1:8" ht="15.75" x14ac:dyDescent="0.25">
      <c r="A403" s="1" t="s">
        <v>196</v>
      </c>
      <c r="B403">
        <v>52543</v>
      </c>
      <c r="C403" t="s">
        <v>536</v>
      </c>
      <c r="D403" t="s">
        <v>93</v>
      </c>
      <c r="G403">
        <v>4</v>
      </c>
      <c r="H403" s="3"/>
    </row>
    <row r="404" spans="1:8" ht="15.75" x14ac:dyDescent="0.25">
      <c r="A404" s="1" t="s">
        <v>196</v>
      </c>
      <c r="B404">
        <v>52544</v>
      </c>
      <c r="C404" t="s">
        <v>537</v>
      </c>
      <c r="D404" t="s">
        <v>93</v>
      </c>
      <c r="G404">
        <v>5</v>
      </c>
      <c r="H404" s="3"/>
    </row>
    <row r="405" spans="1:8" ht="15.75" x14ac:dyDescent="0.25">
      <c r="A405" s="1" t="s">
        <v>196</v>
      </c>
      <c r="B405">
        <v>55752</v>
      </c>
      <c r="C405" t="s">
        <v>237</v>
      </c>
      <c r="D405" t="s">
        <v>51</v>
      </c>
      <c r="G405">
        <v>6</v>
      </c>
      <c r="H405" s="3"/>
    </row>
    <row r="406" spans="1:8" ht="15.75" x14ac:dyDescent="0.25">
      <c r="A406" s="1" t="s">
        <v>196</v>
      </c>
      <c r="B406">
        <v>67194</v>
      </c>
      <c r="C406" t="s">
        <v>303</v>
      </c>
      <c r="D406" t="s">
        <v>94</v>
      </c>
      <c r="G406">
        <v>3</v>
      </c>
      <c r="H406" s="3"/>
    </row>
    <row r="407" spans="1:8" ht="15.75" x14ac:dyDescent="0.25">
      <c r="A407" s="1" t="s">
        <v>196</v>
      </c>
      <c r="B407">
        <v>68048</v>
      </c>
      <c r="C407" t="s">
        <v>523</v>
      </c>
      <c r="D407" t="s">
        <v>95</v>
      </c>
      <c r="G407">
        <v>10</v>
      </c>
      <c r="H407" s="3"/>
    </row>
    <row r="408" spans="1:8" ht="15.75" x14ac:dyDescent="0.25">
      <c r="A408" s="1" t="s">
        <v>196</v>
      </c>
      <c r="B408">
        <v>69304</v>
      </c>
      <c r="C408" t="s">
        <v>519</v>
      </c>
      <c r="D408" t="s">
        <v>93</v>
      </c>
      <c r="G408">
        <v>4</v>
      </c>
      <c r="H408" s="3"/>
    </row>
    <row r="409" spans="1:8" ht="15.75" x14ac:dyDescent="0.25">
      <c r="A409" s="1" t="s">
        <v>196</v>
      </c>
      <c r="B409">
        <v>71506</v>
      </c>
      <c r="C409" t="s">
        <v>225</v>
      </c>
      <c r="D409" t="s">
        <v>96</v>
      </c>
      <c r="G409">
        <v>4</v>
      </c>
      <c r="H409" s="3"/>
    </row>
    <row r="410" spans="1:8" ht="15.75" x14ac:dyDescent="0.25">
      <c r="A410" s="1" t="s">
        <v>196</v>
      </c>
      <c r="B410">
        <v>74379</v>
      </c>
      <c r="C410" t="s">
        <v>520</v>
      </c>
      <c r="D410" t="s">
        <v>93</v>
      </c>
      <c r="G410">
        <v>5</v>
      </c>
      <c r="H410" s="3"/>
    </row>
    <row r="411" spans="1:8" ht="15.75" x14ac:dyDescent="0.25">
      <c r="A411" s="1" t="s">
        <v>196</v>
      </c>
      <c r="B411">
        <v>3097</v>
      </c>
      <c r="C411" t="s">
        <v>521</v>
      </c>
      <c r="D411" t="s">
        <v>51</v>
      </c>
      <c r="G411">
        <v>10</v>
      </c>
      <c r="H411" s="3"/>
    </row>
    <row r="412" spans="1:8" ht="15.75" x14ac:dyDescent="0.25">
      <c r="A412" s="1" t="s">
        <v>196</v>
      </c>
      <c r="B412">
        <v>55751</v>
      </c>
      <c r="C412" t="s">
        <v>522</v>
      </c>
      <c r="D412" t="s">
        <v>51</v>
      </c>
      <c r="G412">
        <v>6</v>
      </c>
      <c r="H412" s="3"/>
    </row>
    <row r="413" spans="1:8" ht="15.75" x14ac:dyDescent="0.25">
      <c r="A413" s="1" t="s">
        <v>196</v>
      </c>
      <c r="B413">
        <v>56353</v>
      </c>
      <c r="C413" t="s">
        <v>296</v>
      </c>
      <c r="D413" t="s">
        <v>52</v>
      </c>
      <c r="G413">
        <v>10</v>
      </c>
      <c r="H413" s="3"/>
    </row>
    <row r="414" spans="1:8" ht="15.75" x14ac:dyDescent="0.25">
      <c r="A414" s="1" t="s">
        <v>196</v>
      </c>
      <c r="B414">
        <v>67523</v>
      </c>
      <c r="C414" t="s">
        <v>518</v>
      </c>
      <c r="D414" t="s">
        <v>97</v>
      </c>
      <c r="G414">
        <v>2</v>
      </c>
      <c r="H414" s="3"/>
    </row>
    <row r="415" spans="1:8" ht="15.75" x14ac:dyDescent="0.25">
      <c r="A415" s="1" t="s">
        <v>196</v>
      </c>
      <c r="B415">
        <v>67708</v>
      </c>
      <c r="C415" t="s">
        <v>524</v>
      </c>
      <c r="D415" t="s">
        <v>98</v>
      </c>
      <c r="G415">
        <v>6</v>
      </c>
      <c r="H415" s="3"/>
    </row>
    <row r="416" spans="1:8" ht="15.75" x14ac:dyDescent="0.25">
      <c r="A416" s="1" t="s">
        <v>196</v>
      </c>
      <c r="B416">
        <v>67985</v>
      </c>
      <c r="C416" t="s">
        <v>525</v>
      </c>
      <c r="D416" t="s">
        <v>99</v>
      </c>
      <c r="G416">
        <v>5</v>
      </c>
      <c r="H416" s="3"/>
    </row>
    <row r="417" spans="1:8" ht="15.75" x14ac:dyDescent="0.25">
      <c r="A417" s="1" t="s">
        <v>196</v>
      </c>
      <c r="B417">
        <v>67986</v>
      </c>
      <c r="C417" t="s">
        <v>526</v>
      </c>
      <c r="D417" t="s">
        <v>100</v>
      </c>
      <c r="G417">
        <v>2</v>
      </c>
      <c r="H417" s="3"/>
    </row>
    <row r="418" spans="1:8" ht="15.75" x14ac:dyDescent="0.25">
      <c r="A418" s="1" t="s">
        <v>196</v>
      </c>
      <c r="B418">
        <v>72065</v>
      </c>
      <c r="C418" t="s">
        <v>538</v>
      </c>
      <c r="D418" t="s">
        <v>101</v>
      </c>
      <c r="G418">
        <v>3</v>
      </c>
      <c r="H418" s="3"/>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B072F-C4AD-43CC-9E5A-55895DD8C7E0}">
  <dimension ref="A1:B4"/>
  <sheetViews>
    <sheetView workbookViewId="0">
      <selection activeCell="B4" sqref="B4"/>
    </sheetView>
  </sheetViews>
  <sheetFormatPr defaultRowHeight="15" x14ac:dyDescent="0.25"/>
  <cols>
    <col min="1" max="1" width="20.42578125" customWidth="1"/>
    <col min="2" max="2" width="52.42578125" customWidth="1"/>
  </cols>
  <sheetData>
    <row r="1" spans="1:2" x14ac:dyDescent="0.25">
      <c r="A1" t="s">
        <v>43</v>
      </c>
      <c r="B1" t="s">
        <v>44</v>
      </c>
    </row>
    <row r="2" spans="1:2" x14ac:dyDescent="0.25">
      <c r="A2" s="1" t="s">
        <v>13</v>
      </c>
      <c r="B2" s="1">
        <v>2026</v>
      </c>
    </row>
    <row r="3" spans="1:2" x14ac:dyDescent="0.25">
      <c r="A3" s="1" t="s">
        <v>14</v>
      </c>
      <c r="B3" s="1" t="s">
        <v>1174</v>
      </c>
    </row>
    <row r="4" spans="1:2" x14ac:dyDescent="0.25">
      <c r="A4" s="1" t="s">
        <v>102</v>
      </c>
      <c r="B4" s="1" t="b">
        <v>0</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CD348-9CB9-4564-B4E3-83ABB0B79710}">
  <dimension ref="A1:M11"/>
  <sheetViews>
    <sheetView tabSelected="1" workbookViewId="0">
      <selection activeCell="J6" sqref="J6"/>
    </sheetView>
  </sheetViews>
  <sheetFormatPr defaultRowHeight="15" x14ac:dyDescent="0.25"/>
  <cols>
    <col min="1" max="1" width="17.28515625" customWidth="1"/>
    <col min="2" max="2" width="17.28515625" bestFit="1" customWidth="1"/>
    <col min="3" max="3" width="11.7109375" bestFit="1" customWidth="1"/>
    <col min="4" max="4" width="8.140625" bestFit="1" customWidth="1"/>
    <col min="5" max="5" width="14" bestFit="1" customWidth="1"/>
    <col min="6" max="6" width="11.28515625" bestFit="1" customWidth="1"/>
    <col min="7" max="8" width="25.85546875" bestFit="1" customWidth="1"/>
    <col min="9" max="9" width="26.5703125" bestFit="1" customWidth="1"/>
    <col min="10" max="10" width="26.5703125" customWidth="1"/>
    <col min="11" max="11" width="26.140625" bestFit="1" customWidth="1"/>
    <col min="12" max="13" width="26.140625" customWidth="1"/>
    <col min="14" max="14" width="19.28515625" bestFit="1" customWidth="1"/>
  </cols>
  <sheetData>
    <row r="1" spans="1:13" x14ac:dyDescent="0.25">
      <c r="A1" t="s">
        <v>145</v>
      </c>
      <c r="B1" t="s">
        <v>112</v>
      </c>
      <c r="C1" t="s">
        <v>144</v>
      </c>
      <c r="D1" t="s">
        <v>113</v>
      </c>
      <c r="E1" t="s">
        <v>114</v>
      </c>
      <c r="F1" t="s">
        <v>115</v>
      </c>
      <c r="G1" t="s">
        <v>116</v>
      </c>
      <c r="H1" t="s">
        <v>117</v>
      </c>
      <c r="I1" t="s">
        <v>118</v>
      </c>
      <c r="J1" t="s">
        <v>1172</v>
      </c>
      <c r="K1" t="s">
        <v>163</v>
      </c>
      <c r="L1" t="s">
        <v>164</v>
      </c>
      <c r="M1" t="s">
        <v>165</v>
      </c>
    </row>
    <row r="2" spans="1:13" x14ac:dyDescent="0.25">
      <c r="A2" t="s">
        <v>104</v>
      </c>
      <c r="B2" t="s">
        <v>119</v>
      </c>
      <c r="C2" t="b">
        <v>0</v>
      </c>
      <c r="D2">
        <v>0</v>
      </c>
      <c r="E2">
        <v>0</v>
      </c>
      <c r="F2">
        <v>0</v>
      </c>
      <c r="G2" t="s">
        <v>120</v>
      </c>
      <c r="H2" t="s">
        <v>121</v>
      </c>
      <c r="I2" t="s">
        <v>122</v>
      </c>
      <c r="K2" t="s">
        <v>166</v>
      </c>
      <c r="L2" t="s">
        <v>171</v>
      </c>
      <c r="M2" t="s">
        <v>104</v>
      </c>
    </row>
    <row r="3" spans="1:13" x14ac:dyDescent="0.25">
      <c r="A3" t="s">
        <v>106</v>
      </c>
      <c r="B3" t="s">
        <v>123</v>
      </c>
      <c r="C3" t="b">
        <v>0</v>
      </c>
      <c r="D3">
        <v>0</v>
      </c>
      <c r="E3">
        <v>0</v>
      </c>
      <c r="F3">
        <v>0</v>
      </c>
      <c r="G3" t="s">
        <v>124</v>
      </c>
      <c r="H3" t="s">
        <v>125</v>
      </c>
      <c r="I3" t="s">
        <v>126</v>
      </c>
      <c r="K3" t="s">
        <v>167</v>
      </c>
      <c r="L3" t="s">
        <v>172</v>
      </c>
      <c r="M3" t="s">
        <v>106</v>
      </c>
    </row>
    <row r="4" spans="1:13" x14ac:dyDescent="0.25">
      <c r="A4" t="s">
        <v>105</v>
      </c>
      <c r="B4" t="s">
        <v>127</v>
      </c>
      <c r="C4" t="b">
        <v>0</v>
      </c>
      <c r="D4">
        <v>0</v>
      </c>
      <c r="E4">
        <v>0</v>
      </c>
      <c r="F4">
        <v>0</v>
      </c>
      <c r="G4" t="s">
        <v>128</v>
      </c>
      <c r="H4" t="s">
        <v>129</v>
      </c>
      <c r="I4" t="s">
        <v>130</v>
      </c>
      <c r="K4" t="s">
        <v>168</v>
      </c>
      <c r="L4" t="s">
        <v>173</v>
      </c>
      <c r="M4" t="s">
        <v>105</v>
      </c>
    </row>
    <row r="5" spans="1:13" x14ac:dyDescent="0.25">
      <c r="A5" t="s">
        <v>107</v>
      </c>
      <c r="B5" t="s">
        <v>131</v>
      </c>
      <c r="C5" t="b">
        <v>0</v>
      </c>
      <c r="D5">
        <v>0</v>
      </c>
      <c r="E5">
        <v>0</v>
      </c>
      <c r="F5">
        <v>0</v>
      </c>
      <c r="G5" t="s">
        <v>132</v>
      </c>
      <c r="H5" t="s">
        <v>133</v>
      </c>
      <c r="I5" t="s">
        <v>134</v>
      </c>
      <c r="K5" t="s">
        <v>169</v>
      </c>
      <c r="L5" t="s">
        <v>174</v>
      </c>
      <c r="M5" t="s">
        <v>107</v>
      </c>
    </row>
    <row r="6" spans="1:13" x14ac:dyDescent="0.25">
      <c r="A6" t="s">
        <v>108</v>
      </c>
      <c r="B6" t="s">
        <v>135</v>
      </c>
      <c r="C6" t="b">
        <v>0</v>
      </c>
      <c r="D6">
        <v>0</v>
      </c>
      <c r="E6">
        <v>0</v>
      </c>
      <c r="F6">
        <v>0</v>
      </c>
      <c r="G6" t="s">
        <v>136</v>
      </c>
      <c r="H6" t="s">
        <v>137</v>
      </c>
      <c r="I6" t="s">
        <v>138</v>
      </c>
      <c r="J6" t="s">
        <v>1173</v>
      </c>
      <c r="M6" t="s">
        <v>108</v>
      </c>
    </row>
    <row r="7" spans="1:13" x14ac:dyDescent="0.25">
      <c r="A7" s="1" t="s">
        <v>103</v>
      </c>
      <c r="B7" t="s">
        <v>139</v>
      </c>
      <c r="C7" t="b">
        <v>0</v>
      </c>
      <c r="D7">
        <v>0</v>
      </c>
      <c r="E7">
        <v>0</v>
      </c>
      <c r="F7">
        <v>0</v>
      </c>
      <c r="G7" t="s">
        <v>140</v>
      </c>
      <c r="H7" t="s">
        <v>141</v>
      </c>
      <c r="I7" t="s">
        <v>142</v>
      </c>
      <c r="K7" s="1" t="s">
        <v>176</v>
      </c>
      <c r="L7" s="1" t="s">
        <v>177</v>
      </c>
      <c r="M7" s="1" t="s">
        <v>103</v>
      </c>
    </row>
    <row r="8" spans="1:13" x14ac:dyDescent="0.25">
      <c r="A8" s="1" t="s">
        <v>109</v>
      </c>
      <c r="B8" t="s">
        <v>146</v>
      </c>
      <c r="C8" t="b">
        <v>0</v>
      </c>
      <c r="D8">
        <v>0</v>
      </c>
      <c r="E8">
        <v>0</v>
      </c>
      <c r="F8">
        <v>0</v>
      </c>
      <c r="G8" t="s">
        <v>149</v>
      </c>
      <c r="H8" t="s">
        <v>150</v>
      </c>
      <c r="I8" t="s">
        <v>151</v>
      </c>
      <c r="K8" s="1"/>
      <c r="M8" s="1" t="s">
        <v>109</v>
      </c>
    </row>
    <row r="9" spans="1:13" x14ac:dyDescent="0.25">
      <c r="A9" s="1" t="s">
        <v>110</v>
      </c>
      <c r="B9" t="s">
        <v>147</v>
      </c>
      <c r="C9" t="b">
        <v>0</v>
      </c>
      <c r="D9">
        <v>0</v>
      </c>
      <c r="E9">
        <v>0</v>
      </c>
      <c r="F9">
        <v>0</v>
      </c>
      <c r="G9" t="s">
        <v>152</v>
      </c>
      <c r="H9" t="s">
        <v>153</v>
      </c>
      <c r="I9" t="s">
        <v>154</v>
      </c>
      <c r="K9" s="1"/>
      <c r="M9" s="1" t="s">
        <v>110</v>
      </c>
    </row>
    <row r="10" spans="1:13" x14ac:dyDescent="0.25">
      <c r="A10" s="1" t="s">
        <v>111</v>
      </c>
      <c r="B10" t="s">
        <v>148</v>
      </c>
      <c r="C10" t="b">
        <v>0</v>
      </c>
      <c r="D10">
        <v>0</v>
      </c>
      <c r="E10">
        <v>0</v>
      </c>
      <c r="F10">
        <v>0</v>
      </c>
      <c r="G10" t="s">
        <v>155</v>
      </c>
      <c r="H10" t="s">
        <v>156</v>
      </c>
      <c r="I10" t="s">
        <v>157</v>
      </c>
      <c r="K10" s="1"/>
      <c r="M10" s="1" t="s">
        <v>111</v>
      </c>
    </row>
    <row r="11" spans="1:13" x14ac:dyDescent="0.25">
      <c r="A11" t="s">
        <v>23</v>
      </c>
      <c r="B11" t="s">
        <v>158</v>
      </c>
      <c r="C11" t="b">
        <v>0</v>
      </c>
      <c r="D11">
        <v>0</v>
      </c>
      <c r="E11">
        <v>0</v>
      </c>
      <c r="F11">
        <v>0</v>
      </c>
      <c r="G11" t="s">
        <v>159</v>
      </c>
      <c r="H11" t="s">
        <v>160</v>
      </c>
      <c r="I11" t="s">
        <v>161</v>
      </c>
      <c r="K11" t="s">
        <v>170</v>
      </c>
      <c r="L11" t="s">
        <v>175</v>
      </c>
      <c r="M11" t="s">
        <v>23</v>
      </c>
    </row>
  </sheetData>
  <phoneticPr fontId="2"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Tournaments</vt:lpstr>
      <vt:lpstr>DivTournaments</vt:lpstr>
      <vt:lpstr>Assignments</vt:lpstr>
      <vt:lpstr>SeasonInfo</vt:lpstr>
      <vt:lpstr>AwardDef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Berger</dc:creator>
  <cp:lastModifiedBy>Skip Morrow</cp:lastModifiedBy>
  <dcterms:created xsi:type="dcterms:W3CDTF">2024-10-16T01:30:27Z</dcterms:created>
  <dcterms:modified xsi:type="dcterms:W3CDTF">2026-10-03T13:45:27Z</dcterms:modified>
</cp:coreProperties>
</file>