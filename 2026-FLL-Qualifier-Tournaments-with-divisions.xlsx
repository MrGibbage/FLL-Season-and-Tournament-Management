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name="Summary" sheetId="1" state="visible" r:id="rId1"/>
    <sheet name="Single Division" sheetId="2" state="visible" r:id="rId2"/>
    <sheet name="Two Divisions" sheetId="3" state="visible" r:id="rId3"/>
    <sheet name="Assignments" sheetId="4" state="visible" r:id="rId4"/>
    <sheet name="SeasonInfo" sheetId="5" state="visible" r:id="rId5"/>
    <sheet name="AwardDef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3" fillId="0" borderId="0" pivotButton="0" quotePrefix="0" xfId="0"/>
    <xf numFmtId="14" fontId="1" fillId="0" borderId="0" pivotButton="0" quotePrefix="0" xfId="0"/>
    <xf numFmtId="0" fontId="1" fillId="2" borderId="0" pivotButton="0" quotePrefix="0" xfId="0"/>
    <xf numFmtId="14" fontId="0" fillId="0" borderId="0" pivotButton="0" quotePrefix="0" xfId="0"/>
  </cellXfs>
  <cellStyles count="1">
    <cellStyle name="Normal" xfId="0" builtinId="0"/>
  </cellStyles>
  <dxfs count="63"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Aptos Narrow"/>
        <family val="2"/>
        <strike val="0"/>
        <outline val="0"/>
        <shadow val="0"/>
        <sz val="12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</dxf>
    <dxf>
      <font>
        <name val="Calibri"/>
        <family val="2"/>
        <strike val="0"/>
        <outline val="0"/>
        <shadow val="0"/>
        <color rgb="FF00000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0.0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0.0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0.000"/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lor theme="1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lor rgb="FF00000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ummary" displayName="Summary" ref="A1:U17" headerRowCount="1" totalsRowShown="0" headerRowDxfId="53" dataDxfId="52">
  <autoFilter ref="A1:U17"/>
  <tableColumns count="21">
    <tableColumn id="1" name="Item" dataDxfId="51"/>
    <tableColumn id="2" name="Newport_News" dataDxfId="50"/>
    <tableColumn id="3" name="Henrico_Godwin" dataDxfId="49"/>
    <tableColumn id="4" name="Glen_Allen" dataDxfId="48"/>
    <tableColumn id="5" name="Martinsville" dataDxfId="47"/>
    <tableColumn id="6" name="Norfolk" dataDxfId="46"/>
    <tableColumn id="7" name="Blacksburg" dataDxfId="45"/>
    <tableColumn id="8" name="Abingdon" dataDxfId="44"/>
    <tableColumn id="9" name="Charlottesville" dataDxfId="43"/>
    <tableColumn id="10" name="Manassas_1" dataDxfId="42"/>
    <tableColumn id="11" name="Chantilly" dataDxfId="41"/>
    <tableColumn id="12" name="Manassas_2" dataDxfId="40"/>
    <tableColumn id="13" name="Richmond" dataDxfId="39"/>
    <tableColumn id="14" name="DC-McKinley" dataDxfId="38"/>
    <tableColumn id="15" name="DC-Friendship" dataDxfId="37"/>
    <tableColumn id="16" name="Ashburn" dataDxfId="36"/>
    <tableColumn id="17" name="Alexandria" dataDxfId="35"/>
    <tableColumn id="23" name="Henrico_Freeman" dataDxfId="34"/>
    <tableColumn id="24" name="Hayfield_1" dataDxfId="33"/>
    <tableColumn id="25" name="Hayfield_2" dataDxfId="32"/>
    <tableColumn id="18" name="Test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urnamentList" displayName="TournamentList" ref="A1:P2" headerRowCount="1" insertRow="1" totalsRowShown="0" headerRowDxfId="30" dataDxfId="29">
  <autoFilter ref="A1:P2"/>
  <tableColumns count="16">
    <tableColumn id="1" name="Short Name"/>
    <tableColumn id="2" name="Long Name"/>
    <tableColumn id="3" name="Date"/>
    <tableColumn id="4" name="Div"/>
    <tableColumn id="5" name="Helper"/>
    <tableColumn id="6" name="OJS_FileName"/>
    <tableColumn id="7" name="J_AWD_CHAMP"/>
    <tableColumn id="8" name="J_AWD_RD"/>
    <tableColumn id="9" name="J_AWD_IP"/>
    <tableColumn id="10" name="J_AWD_CV"/>
    <tableColumn id="11" name="P_AWD_RG"/>
    <tableColumn id="12" name="ADV"/>
    <tableColumn id="13" name="J_AWD_Judges"/>
    <tableColumn id="14" name="J_AWD_BT"/>
    <tableColumn id="15" name="J_AWD_RisAll"/>
    <tableColumn id="16" name="J_AWD_C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vTournamentList" displayName="DivTournamentList" ref="A1:P38" headerRowCount="1" totalsRowShown="0">
  <autoFilter ref="A1:P38"/>
  <tableColumns count="16">
    <tableColumn id="1" name="Short Name"/>
    <tableColumn id="2" name="Long Name"/>
    <tableColumn id="3" name="Date"/>
    <tableColumn id="4" name="Div"/>
    <tableColumn id="5" name="Helper"/>
    <tableColumn id="6" name="OJS_FileName"/>
    <tableColumn id="7" name="J_AWD_CHAMP"/>
    <tableColumn id="8" name="J_AWD_RD"/>
    <tableColumn id="9" name="J_AWD_IP"/>
    <tableColumn id="10" name="J_AWD_CV"/>
    <tableColumn id="11" name="P_AWD_RG"/>
    <tableColumn id="12" name="ADV"/>
    <tableColumn id="13" name="J_AWD_Judges"/>
    <tableColumn id="14" name="J_AWD_BT"/>
    <tableColumn id="15" name="J_AWD_RisAll"/>
    <tableColumn id="16" name="J_AWD_C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ssignments" displayName="Assignments" ref="A1:H418" headerRowCount="1" totalsRowShown="0" dataDxfId="14">
  <autoFilter ref="A1:H418"/>
  <sortState ref="A2:H389">
    <sortCondition ref="F1:F389"/>
  </sortState>
  <tableColumns count="8">
    <tableColumn id="1" name="Short Name" dataDxfId="13"/>
    <tableColumn id="2" name="Team #" dataDxfId="12"/>
    <tableColumn id="3" name="Team Name" dataDxfId="11"/>
    <tableColumn id="4" name="Coach Name" dataDxfId="10"/>
    <tableColumn id="5" name="Organization" dataDxfId="9"/>
    <tableColumn id="6" name="Div" dataDxfId="8"/>
    <tableColumn id="7" name="Mem" dataDxfId="7"/>
    <tableColumn id="8" name="State?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easonInfo" displayName="SeasonInfo" ref="A1:B4" headerRowCount="1" totalsRowShown="0" dataDxfId="5">
  <autoFilter ref="A1:B4"/>
  <tableColumns count="2">
    <tableColumn id="1" name="Key" dataDxfId="4"/>
    <tableColumn id="2" name="Value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wardDef" displayName="AwardDef" ref="A1:L11" headerRowCount="1" totalsRowShown="0">
  <autoFilter ref="A1:L11"/>
  <tableColumns count="12">
    <tableColumn id="10" name="ColumnName"/>
    <tableColumn id="1" name="Name"/>
    <tableColumn id="2" name="DivAward"/>
    <tableColumn id="3" name="TournCount"/>
    <tableColumn id="4" name="D1Count"/>
    <tableColumn id="5" name="D2Count"/>
    <tableColumn id="6" name="Label1"/>
    <tableColumn id="7" name="Label2"/>
    <tableColumn id="8" name="Label3"/>
    <tableColumn id="9" name="ScriptTagD1" dataDxfId="2"/>
    <tableColumn id="11" name="ScriptTagD2" dataDxfId="1">
      <calculatedColumnFormula>AwardDef[[#This Row],[ScriptTagD1]]&amp;"_D1"</calculatedColumnFormula>
    </tableColumn>
    <tableColumn id="12" name="ScriptTagNoDi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B11" sqref="B11"/>
    </sheetView>
  </sheetViews>
  <sheetFormatPr baseColWidth="8" defaultRowHeight="15"/>
  <cols>
    <col width="26.85546875" customWidth="1" min="1" max="1"/>
    <col width="14.42578125" customWidth="1" min="2" max="2"/>
    <col width="8.7109375" customWidth="1" min="3" max="3"/>
    <col width="11" customWidth="1" min="4" max="4"/>
    <col width="12.140625" customWidth="1" min="5" max="5"/>
    <col width="8.5703125" customWidth="1" min="6" max="6"/>
    <col width="11" customWidth="1" min="7" max="7"/>
    <col width="10.28515625" customWidth="1" min="8" max="8"/>
    <col width="14.140625" customWidth="1" min="9" max="9"/>
    <col width="11.42578125" customWidth="1" min="10" max="10"/>
    <col width="8" customWidth="1" min="11" max="11"/>
    <col width="11.42578125" customWidth="1" min="12" max="12"/>
    <col width="10.42578125" customWidth="1" min="13" max="13"/>
    <col width="12.7109375" customWidth="1" min="14" max="14"/>
    <col width="13.7109375" customWidth="1" min="15" max="15"/>
    <col width="9.28515625" customWidth="1" min="16" max="16"/>
    <col width="11.140625" customWidth="1" min="17" max="20"/>
  </cols>
  <sheetData>
    <row r="1">
      <c r="A1" s="1" t="inlineStr">
        <is>
          <t>Item</t>
        </is>
      </c>
      <c r="B1" s="1" t="inlineStr">
        <is>
          <t>Newport_News</t>
        </is>
      </c>
      <c r="C1" s="1" t="inlineStr">
        <is>
          <t>Henrico_Godwin</t>
        </is>
      </c>
      <c r="D1" s="1" t="inlineStr">
        <is>
          <t>Glen_Allen</t>
        </is>
      </c>
      <c r="E1" s="1" t="inlineStr">
        <is>
          <t>Martinsville</t>
        </is>
      </c>
      <c r="F1" s="1" t="inlineStr">
        <is>
          <t>Norfolk</t>
        </is>
      </c>
      <c r="G1" s="1" t="inlineStr">
        <is>
          <t>Blacksburg</t>
        </is>
      </c>
      <c r="H1" s="1" t="inlineStr">
        <is>
          <t>Abingdon</t>
        </is>
      </c>
      <c r="I1" s="1" t="inlineStr">
        <is>
          <t>Charlottesville</t>
        </is>
      </c>
      <c r="J1" s="1" t="inlineStr">
        <is>
          <t>Manassas_1</t>
        </is>
      </c>
      <c r="K1" s="1" t="inlineStr">
        <is>
          <t>Chantilly</t>
        </is>
      </c>
      <c r="L1" s="1" t="inlineStr">
        <is>
          <t>Manassas_2</t>
        </is>
      </c>
      <c r="M1" s="1" t="inlineStr">
        <is>
          <t>Richmond</t>
        </is>
      </c>
      <c r="N1" s="1" t="inlineStr">
        <is>
          <t>DC-McKinley</t>
        </is>
      </c>
      <c r="O1" s="1" t="inlineStr">
        <is>
          <t>DC-Friendship</t>
        </is>
      </c>
      <c r="P1" s="1" t="inlineStr">
        <is>
          <t>Ashburn</t>
        </is>
      </c>
      <c r="Q1" s="1" t="inlineStr">
        <is>
          <t>Alexandria</t>
        </is>
      </c>
      <c r="R1" s="1" t="inlineStr">
        <is>
          <t>Henrico_Freeman</t>
        </is>
      </c>
      <c r="S1" s="1" t="inlineStr">
        <is>
          <t>Hayfield_1</t>
        </is>
      </c>
      <c r="T1" s="1" t="inlineStr">
        <is>
          <t>Hayfield_2</t>
        </is>
      </c>
      <c r="U1" s="1" t="inlineStr">
        <is>
          <t>Test</t>
        </is>
      </c>
    </row>
    <row r="2">
      <c r="A2" s="1" t="inlineStr">
        <is>
          <t>Total Teams</t>
        </is>
      </c>
      <c r="B2" s="1">
        <f>SUM(B3:B4)</f>
        <v/>
      </c>
      <c r="C2" s="1">
        <f>SUM(C3:C4)</f>
        <v/>
      </c>
      <c r="D2" s="1">
        <f>SUM(D3:D4)</f>
        <v/>
      </c>
      <c r="E2" s="1">
        <f>SUM(E3:E4)</f>
        <v/>
      </c>
      <c r="F2" s="1">
        <f>SUM(F3:F4)</f>
        <v/>
      </c>
      <c r="G2" s="1">
        <f>SUM(G3:G4)</f>
        <v/>
      </c>
      <c r="H2" s="1">
        <f>SUM(H3:H4)</f>
        <v/>
      </c>
      <c r="I2" s="1">
        <f>SUM(I3:I4)</f>
        <v/>
      </c>
      <c r="J2" s="1">
        <f>SUM(J3:J4)</f>
        <v/>
      </c>
      <c r="K2" s="1">
        <f>SUM(K3:K4)</f>
        <v/>
      </c>
      <c r="L2" s="1">
        <f>SUM(L3:L4)</f>
        <v/>
      </c>
      <c r="M2" s="1">
        <f>SUM(M3:M4)</f>
        <v/>
      </c>
      <c r="N2" s="1">
        <f>SUM(N3:N4)</f>
        <v/>
      </c>
      <c r="O2" s="1">
        <f>SUM(O3:O4)</f>
        <v/>
      </c>
      <c r="P2" s="1">
        <f>SUM(P3:P4)</f>
        <v/>
      </c>
      <c r="Q2" s="1">
        <f>SUM(Q3:Q4)</f>
        <v/>
      </c>
      <c r="R2" s="1">
        <f>SUM(R3:R4)</f>
        <v/>
      </c>
      <c r="S2" s="1">
        <f>SUM(S3:S4)</f>
        <v/>
      </c>
      <c r="T2" s="1">
        <f>SUM(T3:T4)</f>
        <v/>
      </c>
      <c r="U2" s="1">
        <f>SUM(U3:U4)</f>
        <v/>
      </c>
    </row>
    <row r="3">
      <c r="A3" s="1" t="inlineStr">
        <is>
          <t>Total Teams D1</t>
        </is>
      </c>
      <c r="B3" s="1">
        <f>COUNTIFS(Assignments[Short Name],B1,Assignments[Div],"D1")</f>
        <v/>
      </c>
      <c r="C3" s="1">
        <f>COUNTIFS(Assignments[Short Name],C1,Assignments[Div],"D1")</f>
        <v/>
      </c>
      <c r="D3" s="1">
        <f>COUNTIFS(Assignments[Short Name],D1,Assignments[Div],"D1")</f>
        <v/>
      </c>
      <c r="E3" s="1">
        <f>COUNTIFS(Assignments[Short Name],E1,Assignments[Div],"D1")</f>
        <v/>
      </c>
      <c r="F3" s="1">
        <f>COUNTIFS(Assignments[Short Name],F1,Assignments[Div],"D1")</f>
        <v/>
      </c>
      <c r="G3" s="1">
        <f>COUNTIFS(Assignments[Short Name],G1,Assignments[Div],"D1")</f>
        <v/>
      </c>
      <c r="H3" s="1">
        <f>COUNTIFS(Assignments[Short Name],H1,Assignments[Div],"D1")</f>
        <v/>
      </c>
      <c r="I3" s="1">
        <f>COUNTIFS(Assignments[Short Name],I1,Assignments[Div],"D1")</f>
        <v/>
      </c>
      <c r="J3" s="1">
        <f>COUNTIFS(Assignments[Short Name],J1,Assignments[Div],"D1")</f>
        <v/>
      </c>
      <c r="K3" s="1">
        <f>COUNTIFS(Assignments[Short Name],K1,Assignments[Div],"D1")</f>
        <v/>
      </c>
      <c r="L3" s="1">
        <f>COUNTIFS(Assignments[Short Name],L1,Assignments[Div],"D1")</f>
        <v/>
      </c>
      <c r="M3" s="1">
        <f>COUNTIFS(Assignments[Short Name],M1,Assignments[Div],"D1")</f>
        <v/>
      </c>
      <c r="N3" s="1">
        <f>COUNTIFS(Assignments[Short Name],N1,Assignments[Div],"D1")</f>
        <v/>
      </c>
      <c r="O3" s="1">
        <f>COUNTIFS(Assignments[Short Name],O1,Assignments[Div],"D1")</f>
        <v/>
      </c>
      <c r="P3" s="1">
        <f>COUNTIFS(Assignments[Short Name],P1,Assignments[Div],"D1")</f>
        <v/>
      </c>
      <c r="Q3" s="1">
        <f>COUNTIFS(Assignments[Short Name],Q1,Assignments[Div],"D1")</f>
        <v/>
      </c>
      <c r="R3" s="1">
        <f>COUNTIFS(Assignments[Short Name],R1,Assignments[Div],"D1")</f>
        <v/>
      </c>
      <c r="S3" s="1">
        <f>COUNTIFS(Assignments[Short Name],S1,Assignments[Div],"D1")</f>
        <v/>
      </c>
      <c r="T3" s="1">
        <f>COUNTIFS(Assignments[Short Name],T1,Assignments[Div],"D1")</f>
        <v/>
      </c>
      <c r="U3" s="1">
        <f>COUNTIFS(Assignments[Short Name],U1,Assignments[Div],"D1")</f>
        <v/>
      </c>
    </row>
    <row r="4">
      <c r="A4" s="1" t="inlineStr">
        <is>
          <t>Total Teams D2</t>
        </is>
      </c>
      <c r="B4" s="1">
        <f>COUNTIFS(Assignments[Short Name],B1,Assignments[Div],"D2")</f>
        <v/>
      </c>
      <c r="C4" s="1">
        <f>COUNTIFS(Assignments[Short Name],C1,Assignments[Div],"D2")</f>
        <v/>
      </c>
      <c r="D4" s="1">
        <f>COUNTIFS(Assignments[Short Name],D1,Assignments[Div],"D2")</f>
        <v/>
      </c>
      <c r="E4" s="1">
        <f>COUNTIFS(Assignments[Short Name],E1,Assignments[Div],"D2")</f>
        <v/>
      </c>
      <c r="F4" s="1">
        <f>COUNTIFS(Assignments[Short Name],F1,Assignments[Div],"D2")</f>
        <v/>
      </c>
      <c r="G4" s="1">
        <f>COUNTIFS(Assignments[Short Name],G1,Assignments[Div],"D2")</f>
        <v/>
      </c>
      <c r="H4" s="1">
        <f>COUNTIFS(Assignments[Short Name],H1,Assignments[Div],"D2")</f>
        <v/>
      </c>
      <c r="I4" s="1">
        <f>COUNTIFS(Assignments[Short Name],I1,Assignments[Div],"D2")</f>
        <v/>
      </c>
      <c r="J4" s="1">
        <f>COUNTIFS(Assignments[Short Name],J1,Assignments[Div],"D2")</f>
        <v/>
      </c>
      <c r="K4" s="1">
        <f>COUNTIFS(Assignments[Short Name],K1,Assignments[Div],"D2")</f>
        <v/>
      </c>
      <c r="L4" s="1">
        <f>COUNTIFS(Assignments[Short Name],L1,Assignments[Div],"D2")</f>
        <v/>
      </c>
      <c r="M4" s="1">
        <f>COUNTIFS(Assignments[Short Name],M1,Assignments[Div],"D2")</f>
        <v/>
      </c>
      <c r="N4" s="1">
        <f>COUNTIFS(Assignments[Short Name],N1,Assignments[Div],"D2")</f>
        <v/>
      </c>
      <c r="O4" s="1">
        <f>COUNTIFS(Assignments[Short Name],O1,Assignments[Div],"D2")</f>
        <v/>
      </c>
      <c r="P4" s="1">
        <f>COUNTIFS(Assignments[Short Name],P1,Assignments[Div],"D2")</f>
        <v/>
      </c>
      <c r="Q4" s="1">
        <f>COUNTIFS(Assignments[Short Name],Q1,Assignments[Div],"D2")</f>
        <v/>
      </c>
      <c r="R4" s="1">
        <f>COUNTIFS(Assignments[Short Name],R1,Assignments[Div],"D2")</f>
        <v/>
      </c>
      <c r="S4" s="1">
        <f>COUNTIFS(Assignments[Short Name],S1,Assignments[Div],"D2")</f>
        <v/>
      </c>
      <c r="T4" s="1">
        <f>COUNTIFS(Assignments[Short Name],T1,Assignments[Div],"D2")</f>
        <v/>
      </c>
      <c r="U4" s="1">
        <f>COUNTIFS(Assignments[Short Name],U1,Assignments[Div],"D2")</f>
        <v/>
      </c>
    </row>
    <row r="5">
      <c r="A5" s="1" t="inlineStr">
        <is>
          <t>Judges Awards</t>
        </is>
      </c>
      <c r="B5" s="1">
        <f>VLOOKUP(Summary[[#Headers],[Newport_News]],TournamentList[],12,0)</f>
        <v/>
      </c>
      <c r="C5" s="1">
        <f>VLOOKUP(Summary[[#Headers],[Henrico_Godwin]],TournamentList[],12,0)</f>
        <v/>
      </c>
      <c r="D5" s="1">
        <f>VLOOKUP(Summary[[#Headers],[Glen_Allen]],TournamentList[],12,0)</f>
        <v/>
      </c>
      <c r="E5" s="1">
        <f>VLOOKUP(Summary[[#Headers],[Martinsville]],TournamentList[],12,0)</f>
        <v/>
      </c>
      <c r="F5" s="1">
        <f>VLOOKUP(Summary[[#Headers],[Norfolk]],TournamentList[],12,0)</f>
        <v/>
      </c>
      <c r="G5" s="1">
        <f>VLOOKUP(Summary[[#Headers],[Blacksburg]],TournamentList[],12,0)</f>
        <v/>
      </c>
      <c r="H5" s="1">
        <f>VLOOKUP(Summary[[#Headers],[Abingdon]],TournamentList[],12,0)</f>
        <v/>
      </c>
      <c r="I5" s="1">
        <f>VLOOKUP(Summary[[#Headers],[Charlottesville]],TournamentList[],12,0)</f>
        <v/>
      </c>
      <c r="J5" s="1">
        <f>VLOOKUP(Summary[[#Headers],[Manassas_1]],TournamentList[],12,0)</f>
        <v/>
      </c>
      <c r="K5" s="1">
        <f>VLOOKUP(Summary[[#Headers],[Chantilly]],TournamentList[],12,0)</f>
        <v/>
      </c>
      <c r="L5" s="1">
        <f>VLOOKUP(Summary[[#Headers],[Manassas_2]],TournamentList[],12,0)</f>
        <v/>
      </c>
      <c r="M5" s="1">
        <f>VLOOKUP(Summary[[#Headers],[Richmond]],TournamentList[],12,0)</f>
        <v/>
      </c>
      <c r="N5" s="1">
        <f>VLOOKUP(Summary[[#Headers],[DC-McKinley]],TournamentList[],12,0)</f>
        <v/>
      </c>
      <c r="O5" s="1">
        <f>VLOOKUP(Summary[[#Headers],[DC-Friendship]],TournamentList[],12,0)</f>
        <v/>
      </c>
      <c r="P5" s="1">
        <f>VLOOKUP(Summary[[#Headers],[Ashburn]],TournamentList[],12,0)</f>
        <v/>
      </c>
      <c r="Q5" s="1">
        <f>VLOOKUP(Summary[[#Headers],[Alexandria]],TournamentList[],12,0)</f>
        <v/>
      </c>
      <c r="R5" s="1">
        <f>VLOOKUP(Summary[[#Headers],[Henrico_Freeman]],TournamentList[],12,0)</f>
        <v/>
      </c>
      <c r="S5" s="1">
        <f>VLOOKUP(Summary[[#Headers],[Hayfield_1]],TournamentList[],12,0)</f>
        <v/>
      </c>
      <c r="T5" s="1">
        <f>VLOOKUP(Summary[[#Headers],[Hayfield_2]],TournamentList[],12,0)</f>
        <v/>
      </c>
      <c r="U5" s="1">
        <f>VLOOKUP(Summary[[#Headers],[Test]],TournamentList[],12,0)</f>
        <v/>
      </c>
    </row>
    <row r="6">
      <c r="A6" s="1" t="inlineStr">
        <is>
          <t>Volunteer Awards</t>
        </is>
      </c>
      <c r="B6" s="1" t="n">
        <v>1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1" t="n">
        <v>1</v>
      </c>
      <c r="M6" s="1" t="n">
        <v>1</v>
      </c>
      <c r="N6" s="1" t="n">
        <v>1</v>
      </c>
      <c r="O6" s="1" t="n">
        <v>1</v>
      </c>
      <c r="P6" s="1" t="n">
        <v>1</v>
      </c>
      <c r="Q6" s="1" t="n">
        <v>1</v>
      </c>
      <c r="R6" s="1" t="n">
        <v>1</v>
      </c>
      <c r="S6" s="1" t="n">
        <v>1</v>
      </c>
      <c r="T6" s="1" t="n">
        <v>1</v>
      </c>
      <c r="U6" s="1" t="n">
        <v>2</v>
      </c>
    </row>
    <row r="7">
      <c r="A7" s="1" t="inlineStr">
        <is>
          <t>D1 Judged Awards</t>
        </is>
      </c>
      <c r="B7" s="1">
        <f t="array" ref="B7">_xlfn.XLOOKUP(Summary[[#Headers],[Newport_News]]&amp;"D1",DivTournamentList[[Helper]:[Helper]],DivTournamentList[[J_AWD_Judges]:[J_AWD_Judges]])</f>
        <v/>
      </c>
      <c r="C7" s="1">
        <f t="array" ref="C7">_xlfn.XLOOKUP(Summary[[#Headers],[Henrico_Godwin]]&amp;"D1",DivTournamentList[[Helper]:[Helper]],DivTournamentList[[J_AWD_Judges]:[J_AWD_Judges]])</f>
        <v/>
      </c>
      <c r="D7" s="1">
        <f t="array" ref="D7">_xlfn.XLOOKUP(Summary[[#Headers],[Glen_Allen]]&amp;"D1",DivTournamentList[[Helper]:[Helper]],DivTournamentList[[J_AWD_Judges]:[J_AWD_Judges]])</f>
        <v/>
      </c>
      <c r="E7" s="1">
        <f t="array" ref="E7">_xlfn.XLOOKUP(Summary[[#Headers],[Martinsville]]&amp;"D1",DivTournamentList[[Helper]:[Helper]],DivTournamentList[[J_AWD_Judges]:[J_AWD_Judges]])</f>
        <v/>
      </c>
      <c r="F7" s="1">
        <f t="array" ref="F7">_xlfn.XLOOKUP(Summary[[#Headers],[Norfolk]]&amp;"D1",DivTournamentList[[Helper]:[Helper]],DivTournamentList[[J_AWD_Judges]:[J_AWD_Judges]])</f>
        <v/>
      </c>
      <c r="G7" s="1">
        <f t="array" ref="G7">_xlfn.XLOOKUP(Summary[[#Headers],[Blacksburg]]&amp;"D1",DivTournamentList[[Helper]:[Helper]],DivTournamentList[[J_AWD_Judges]:[J_AWD_Judges]])</f>
        <v/>
      </c>
      <c r="H7" s="1">
        <f t="array" ref="H7">_xlfn.XLOOKUP(Summary[[#Headers],[Abingdon]]&amp;"D1",DivTournamentList[[Helper]:[Helper]],DivTournamentList[[J_AWD_Judges]:[J_AWD_Judges]])</f>
        <v/>
      </c>
      <c r="I7" s="1">
        <f t="array" ref="I7">_xlfn.XLOOKUP(Summary[[#Headers],[Charlottesville]]&amp;"D1",DivTournamentList[[Helper]:[Helper]],DivTournamentList[[J_AWD_Judges]:[J_AWD_Judges]])</f>
        <v/>
      </c>
      <c r="J7" s="1">
        <f t="array" ref="J7">_xlfn.XLOOKUP(Summary[[#Headers],[Manassas_1]]&amp;"D1",DivTournamentList[[Helper]:[Helper]],DivTournamentList[[J_AWD_Judges]:[J_AWD_Judges]])</f>
        <v/>
      </c>
      <c r="K7" s="1">
        <f t="array" ref="K7">_xlfn.XLOOKUP(Summary[[#Headers],[Chantilly]]&amp;"D1",DivTournamentList[[Helper]:[Helper]],DivTournamentList[[J_AWD_Judges]:[J_AWD_Judges]])</f>
        <v/>
      </c>
      <c r="L7" s="1">
        <f t="array" ref="L7">_xlfn.XLOOKUP(Summary[[#Headers],[Manassas_2]]&amp;"D1",DivTournamentList[[Helper]:[Helper]],DivTournamentList[[J_AWD_Judges]:[J_AWD_Judges]])</f>
        <v/>
      </c>
      <c r="M7" s="1">
        <f t="array" ref="M7">_xlfn.XLOOKUP(Summary[[#Headers],[Richmond]]&amp;"D1",DivTournamentList[[Helper]:[Helper]],DivTournamentList[[J_AWD_Judges]:[J_AWD_Judges]])</f>
        <v/>
      </c>
      <c r="N7" s="1">
        <f t="array" ref="N7">_xlfn.XLOOKUP(Summary[[#Headers],[DC-McKinley]]&amp;"D1",DivTournamentList[[Helper]:[Helper]],DivTournamentList[[J_AWD_Judges]:[J_AWD_Judges]])</f>
        <v/>
      </c>
      <c r="O7" s="1">
        <f t="array" ref="O7">_xlfn.XLOOKUP(Summary[[#Headers],[DC-Friendship]]&amp;"D1",DivTournamentList[[Helper]:[Helper]],DivTournamentList[[J_AWD_Judges]:[J_AWD_Judges]])</f>
        <v/>
      </c>
      <c r="P7" s="1">
        <f t="array" ref="P7">_xlfn.XLOOKUP(Summary[[#Headers],[Ashburn]]&amp;"D1",DivTournamentList[[Helper]:[Helper]],DivTournamentList[[J_AWD_Judges]:[J_AWD_Judges]])</f>
        <v/>
      </c>
      <c r="Q7" s="1">
        <f t="array" ref="Q7">_xlfn.XLOOKUP(Summary[[#Headers],[Alexandria]]&amp;"D1",DivTournamentList[[Helper]:[Helper]],DivTournamentList[[J_AWD_Judges]:[J_AWD_Judges]])</f>
        <v/>
      </c>
      <c r="R7" s="1">
        <f t="array" ref="R7">_xlfn.XLOOKUP(Summary[[#Headers],[Henrico_Freeman]]&amp;"D1",DivTournamentList[[Helper]:[Helper]],DivTournamentList[[J_AWD_Judges]:[J_AWD_Judges]])</f>
        <v/>
      </c>
      <c r="S7" s="1">
        <f t="array" ref="S7">_xlfn.XLOOKUP(Summary[[#Headers],[Hayfield_1]]&amp;"D1",DivTournamentList[[Helper]:[Helper]],DivTournamentList[[J_AWD_Judges]:[J_AWD_Judges]])</f>
        <v/>
      </c>
      <c r="T7" s="1">
        <f t="array" ref="T7">_xlfn.XLOOKUP(Summary[[#Headers],[Hayfield_2]]&amp;"D1",DivTournamentList[[Helper]:[Helper]],DivTournamentList[[J_AWD_Judges]:[J_AWD_Judges]])</f>
        <v/>
      </c>
      <c r="U7" s="1">
        <f t="array" ref="U7">_xlfn.XLOOKUP(Summary[[#Headers],[Test]]&amp;"D1",DivTournamentList[[Helper]:[Helper]],DivTournamentList[[J_AWD_Judges]:[J_AWD_Judges]])</f>
        <v/>
      </c>
    </row>
    <row r="8">
      <c r="A8" s="1" t="inlineStr">
        <is>
          <t>D2 Judged Awards</t>
        </is>
      </c>
      <c r="B8" s="1">
        <f t="array" ref="B8">_xlfn.XLOOKUP(Summary[[#Headers],[Newport_News]]&amp;"D2",DivTournamentList[[Helper]:[Helper]],DivTournamentList[[J_AWD_Judges]:[J_AWD_Judges]])</f>
        <v/>
      </c>
      <c r="C8" s="1">
        <f t="array" ref="C8">_xlfn.XLOOKUP(Summary[[#Headers],[Henrico_Godwin]]&amp;"D2",DivTournamentList[[Helper]:[Helper]],DivTournamentList[[J_AWD_Judges]:[J_AWD_Judges]])</f>
        <v/>
      </c>
      <c r="D8" s="1">
        <f t="array" ref="D8">_xlfn.XLOOKUP(Summary[[#Headers],[Glen_Allen]]&amp;"D2",DivTournamentList[[Helper]:[Helper]],DivTournamentList[[J_AWD_Judges]:[J_AWD_Judges]])</f>
        <v/>
      </c>
      <c r="E8" s="1">
        <f t="array" ref="E8">_xlfn.XLOOKUP(Summary[[#Headers],[Martinsville]]&amp;"D2",DivTournamentList[[Helper]:[Helper]],DivTournamentList[[J_AWD_Judges]:[J_AWD_Judges]])</f>
        <v/>
      </c>
      <c r="F8" s="1">
        <f t="array" ref="F8">_xlfn.XLOOKUP(Summary[[#Headers],[Norfolk]]&amp;"D2",DivTournamentList[[Helper]:[Helper]],DivTournamentList[[J_AWD_Judges]:[J_AWD_Judges]])</f>
        <v/>
      </c>
      <c r="G8" s="1">
        <f t="array" ref="G8">_xlfn.XLOOKUP(Summary[[#Headers],[Blacksburg]]&amp;"D2",DivTournamentList[[Helper]:[Helper]],DivTournamentList[[J_AWD_Judges]:[J_AWD_Judges]])</f>
        <v/>
      </c>
      <c r="H8" s="1">
        <f t="array" ref="H8">_xlfn.XLOOKUP(Summary[[#Headers],[Abingdon]]&amp;"D2",DivTournamentList[[Helper]:[Helper]],DivTournamentList[[J_AWD_Judges]:[J_AWD_Judges]])</f>
        <v/>
      </c>
      <c r="I8" s="1">
        <f t="array" ref="I8">_xlfn.XLOOKUP(Summary[[#Headers],[Charlottesville]]&amp;"D2",DivTournamentList[[Helper]:[Helper]],DivTournamentList[[J_AWD_Judges]:[J_AWD_Judges]])</f>
        <v/>
      </c>
      <c r="J8" s="1">
        <f t="array" ref="J8">_xlfn.XLOOKUP(Summary[[#Headers],[Manassas_1]]&amp;"D2",DivTournamentList[[Helper]:[Helper]],DivTournamentList[[J_AWD_Judges]:[J_AWD_Judges]])</f>
        <v/>
      </c>
      <c r="K8" s="1">
        <f t="array" ref="K8">_xlfn.XLOOKUP(Summary[[#Headers],[Chantilly]]&amp;"D2",DivTournamentList[[Helper]:[Helper]],DivTournamentList[[J_AWD_Judges]:[J_AWD_Judges]])</f>
        <v/>
      </c>
      <c r="L8" s="1">
        <f t="array" ref="L8">_xlfn.XLOOKUP(Summary[[#Headers],[Manassas_2]]&amp;"D2",DivTournamentList[[Helper]:[Helper]],DivTournamentList[[J_AWD_Judges]:[J_AWD_Judges]])</f>
        <v/>
      </c>
      <c r="M8" s="1">
        <f t="array" ref="M8">_xlfn.XLOOKUP(Summary[[#Headers],[Richmond]]&amp;"D2",DivTournamentList[[Helper]:[Helper]],DivTournamentList[[J_AWD_Judges]:[J_AWD_Judges]])</f>
        <v/>
      </c>
      <c r="N8" s="1">
        <f t="array" ref="N8">_xlfn.XLOOKUP(Summary[[#Headers],[DC-McKinley]]&amp;"D2",DivTournamentList[[Helper]:[Helper]],DivTournamentList[[J_AWD_Judges]:[J_AWD_Judges]])</f>
        <v/>
      </c>
      <c r="O8" s="1">
        <f t="array" ref="O8">_xlfn.XLOOKUP(Summary[[#Headers],[DC-Friendship]]&amp;"D2",DivTournamentList[[Helper]:[Helper]],DivTournamentList[[J_AWD_Judges]:[J_AWD_Judges]])</f>
        <v/>
      </c>
      <c r="P8" s="1">
        <f t="array" ref="P8">_xlfn.XLOOKUP(Summary[[#Headers],[Ashburn]]&amp;"D2",DivTournamentList[[Helper]:[Helper]],DivTournamentList[[J_AWD_Judges]:[J_AWD_Judges]])</f>
        <v/>
      </c>
      <c r="Q8" s="1">
        <f t="array" ref="Q8">_xlfn.XLOOKUP(Summary[[#Headers],[Alexandria]]&amp;"D2",DivTournamentList[[Helper]:[Helper]],DivTournamentList[[J_AWD_Judges]:[J_AWD_Judges]])</f>
        <v/>
      </c>
      <c r="R8" s="1">
        <f t="array" ref="R8">_xlfn.XLOOKUP(Summary[[#Headers],[Henrico_Freeman]]&amp;"D2",DivTournamentList[[Helper]:[Helper]],DivTournamentList[[J_AWD_Judges]:[J_AWD_Judges]])</f>
        <v/>
      </c>
      <c r="S8" s="1">
        <f t="array" ref="S8">_xlfn.XLOOKUP(Summary[[#Headers],[Hayfield_1]]&amp;"D2",DivTournamentList[[Helper]:[Helper]],DivTournamentList[[J_AWD_Judges]:[J_AWD_Judges]])</f>
        <v/>
      </c>
      <c r="T8" s="1">
        <f t="array" ref="T8">_xlfn.XLOOKUP(Summary[[#Headers],[Hayfield_2]]&amp;"D2",DivTournamentList[[Helper]:[Helper]],DivTournamentList[[J_AWD_Judges]:[J_AWD_Judges]])</f>
        <v/>
      </c>
      <c r="U8" s="1">
        <f t="array" ref="U8">_xlfn.XLOOKUP(Summary[[#Headers],[Test]]&amp;"D2",DivTournamentList[[Helper]:[Helper]],DivTournamentList[[J_AWD_Judges]:[J_AWD_Judges]])</f>
        <v/>
      </c>
    </row>
    <row r="9">
      <c r="A9" s="1" t="inlineStr">
        <is>
          <t>D1 Robot Perf Awards</t>
        </is>
      </c>
      <c r="B9" s="1">
        <f t="array" ref="B9">_xlfn.XLOOKUP(Summary[[#Headers],[Newport_News]]&amp;"D1",DivTournamentList[[Helper]:[Helper]],DivTournamentList[[P_AWD_RG]:[P_AWD_RG]])</f>
        <v/>
      </c>
      <c r="C9" s="1">
        <f t="array" ref="C9">_xlfn.XLOOKUP(Summary[[#Headers],[Henrico_Godwin]]&amp;"D1",DivTournamentList[[Helper]:[Helper]],DivTournamentList[[P_AWD_RG]:[P_AWD_RG]])</f>
        <v/>
      </c>
      <c r="D9" s="1">
        <f t="array" ref="D9">_xlfn.XLOOKUP(Summary[[#Headers],[Glen_Allen]]&amp;"D1",DivTournamentList[[Helper]:[Helper]],DivTournamentList[[P_AWD_RG]:[P_AWD_RG]])</f>
        <v/>
      </c>
      <c r="E9" s="1">
        <f t="array" ref="E9">_xlfn.XLOOKUP(Summary[[#Headers],[Martinsville]]&amp;"D1",DivTournamentList[[Helper]:[Helper]],DivTournamentList[[P_AWD_RG]:[P_AWD_RG]])</f>
        <v/>
      </c>
      <c r="F9" s="1">
        <f t="array" ref="F9">_xlfn.XLOOKUP(Summary[[#Headers],[Norfolk]]&amp;"D1",DivTournamentList[[Helper]:[Helper]],DivTournamentList[[P_AWD_RG]:[P_AWD_RG]])</f>
        <v/>
      </c>
      <c r="G9" s="1">
        <f t="array" ref="G9">_xlfn.XLOOKUP(Summary[[#Headers],[Blacksburg]]&amp;"D1",DivTournamentList[[Helper]:[Helper]],DivTournamentList[[P_AWD_RG]:[P_AWD_RG]])</f>
        <v/>
      </c>
      <c r="H9" s="1">
        <f t="array" ref="H9">_xlfn.XLOOKUP(Summary[[#Headers],[Abingdon]]&amp;"D1",DivTournamentList[[Helper]:[Helper]],DivTournamentList[[P_AWD_RG]:[P_AWD_RG]])</f>
        <v/>
      </c>
      <c r="I9" s="1">
        <f t="array" ref="I9">_xlfn.XLOOKUP(Summary[[#Headers],[Charlottesville]]&amp;"D1",DivTournamentList[[Helper]:[Helper]],DivTournamentList[[P_AWD_RG]:[P_AWD_RG]])</f>
        <v/>
      </c>
      <c r="J9" s="1">
        <f t="array" ref="J9">_xlfn.XLOOKUP(Summary[[#Headers],[Manassas_1]]&amp;"D1",DivTournamentList[[Helper]:[Helper]],DivTournamentList[[P_AWD_RG]:[P_AWD_RG]])</f>
        <v/>
      </c>
      <c r="K9" s="1">
        <f t="array" ref="K9">_xlfn.XLOOKUP(Summary[[#Headers],[Chantilly]]&amp;"D1",DivTournamentList[[Helper]:[Helper]],DivTournamentList[[P_AWD_RG]:[P_AWD_RG]])</f>
        <v/>
      </c>
      <c r="L9" s="1">
        <f t="array" ref="L9">_xlfn.XLOOKUP(Summary[[#Headers],[Manassas_2]]&amp;"D1",DivTournamentList[[Helper]:[Helper]],DivTournamentList[[P_AWD_RG]:[P_AWD_RG]])</f>
        <v/>
      </c>
      <c r="M9" s="1">
        <f t="array" ref="M9">_xlfn.XLOOKUP(Summary[[#Headers],[Richmond]]&amp;"D1",DivTournamentList[[Helper]:[Helper]],DivTournamentList[[P_AWD_RG]:[P_AWD_RG]])</f>
        <v/>
      </c>
      <c r="N9" s="1">
        <f t="array" ref="N9">_xlfn.XLOOKUP(Summary[[#Headers],[DC-McKinley]]&amp;"D1",DivTournamentList[[Helper]:[Helper]],DivTournamentList[[P_AWD_RG]:[P_AWD_RG]])</f>
        <v/>
      </c>
      <c r="O9" s="1">
        <f t="array" ref="O9">_xlfn.XLOOKUP(Summary[[#Headers],[DC-Friendship]]&amp;"D1",DivTournamentList[[Helper]:[Helper]],DivTournamentList[[P_AWD_RG]:[P_AWD_RG]])</f>
        <v/>
      </c>
      <c r="P9" s="1">
        <f t="array" ref="P9">_xlfn.XLOOKUP(Summary[[#Headers],[Ashburn]]&amp;"D1",DivTournamentList[[Helper]:[Helper]],DivTournamentList[[P_AWD_RG]:[P_AWD_RG]])</f>
        <v/>
      </c>
      <c r="Q9" s="1">
        <f t="array" ref="Q9">_xlfn.XLOOKUP(Summary[[#Headers],[Alexandria]]&amp;"D1",DivTournamentList[[Helper]:[Helper]],DivTournamentList[[P_AWD_RG]:[P_AWD_RG]])</f>
        <v/>
      </c>
      <c r="R9" s="1">
        <f t="array" ref="R9">_xlfn.XLOOKUP(Summary[[#Headers],[Henrico_Freeman]]&amp;"D1",DivTournamentList[[Helper]:[Helper]],DivTournamentList[[P_AWD_RG]:[P_AWD_RG]])</f>
        <v/>
      </c>
      <c r="S9" s="1">
        <f t="array" ref="S9">_xlfn.XLOOKUP(Summary[[#Headers],[Hayfield_1]]&amp;"D1",DivTournamentList[[Helper]:[Helper]],DivTournamentList[[P_AWD_RG]:[P_AWD_RG]])</f>
        <v/>
      </c>
      <c r="T9" s="1">
        <f t="array" ref="T9">_xlfn.XLOOKUP(Summary[[#Headers],[Hayfield_2]]&amp;"D1",DivTournamentList[[Helper]:[Helper]],DivTournamentList[[P_AWD_RG]:[P_AWD_RG]])</f>
        <v/>
      </c>
      <c r="U9" s="1">
        <f t="array" ref="U9">_xlfn.XLOOKUP(Summary[[#Headers],[Test]]&amp;"D1",DivTournamentList[[Helper]:[Helper]],DivTournamentList[[P_AWD_RG]:[P_AWD_RG]])</f>
        <v/>
      </c>
    </row>
    <row r="10">
      <c r="A10" s="1" t="inlineStr">
        <is>
          <t>D2 Robot Perf Awards</t>
        </is>
      </c>
      <c r="B10" s="1">
        <f t="array" ref="B10">_xlfn.XLOOKUP(Summary[[#Headers],[Newport_News]]&amp;"D2",DivTournamentList[[Helper]:[Helper]],DivTournamentList[[P_AWD_RG]:[P_AWD_RG]])</f>
        <v/>
      </c>
      <c r="C10" s="1">
        <f t="array" ref="C10">_xlfn.XLOOKUP(Summary[[#Headers],[Henrico_Godwin]]&amp;"D2",DivTournamentList[[Helper]:[Helper]],DivTournamentList[[P_AWD_RG]:[P_AWD_RG]])</f>
        <v/>
      </c>
      <c r="D10" s="1">
        <f t="array" ref="D10">_xlfn.XLOOKUP(Summary[[#Headers],[Glen_Allen]]&amp;"D2",DivTournamentList[[Helper]:[Helper]],DivTournamentList[[P_AWD_RG]:[P_AWD_RG]])</f>
        <v/>
      </c>
      <c r="E10" s="1">
        <f t="array" ref="E10">_xlfn.XLOOKUP(Summary[[#Headers],[Martinsville]]&amp;"D2",DivTournamentList[[Helper]:[Helper]],DivTournamentList[[P_AWD_RG]:[P_AWD_RG]])</f>
        <v/>
      </c>
      <c r="F10" s="1">
        <f t="array" ref="F10">_xlfn.XLOOKUP(Summary[[#Headers],[Norfolk]]&amp;"D2",DivTournamentList[[Helper]:[Helper]],DivTournamentList[[P_AWD_RG]:[P_AWD_RG]])</f>
        <v/>
      </c>
      <c r="G10" s="1">
        <f t="array" ref="G10">_xlfn.XLOOKUP(Summary[[#Headers],[Blacksburg]]&amp;"D2",DivTournamentList[[Helper]:[Helper]],DivTournamentList[[P_AWD_RG]:[P_AWD_RG]])</f>
        <v/>
      </c>
      <c r="H10" s="1">
        <f t="array" ref="H10">_xlfn.XLOOKUP(Summary[[#Headers],[Abingdon]]&amp;"D2",DivTournamentList[[Helper]:[Helper]],DivTournamentList[[P_AWD_RG]:[P_AWD_RG]])</f>
        <v/>
      </c>
      <c r="I10" s="1">
        <f t="array" ref="I10">_xlfn.XLOOKUP(Summary[[#Headers],[Charlottesville]]&amp;"D2",DivTournamentList[[Helper]:[Helper]],DivTournamentList[[P_AWD_RG]:[P_AWD_RG]])</f>
        <v/>
      </c>
      <c r="J10" s="1">
        <f t="array" ref="J10">_xlfn.XLOOKUP(Summary[[#Headers],[Manassas_1]]&amp;"D2",DivTournamentList[[Helper]:[Helper]],DivTournamentList[[P_AWD_RG]:[P_AWD_RG]])</f>
        <v/>
      </c>
      <c r="K10" s="1">
        <f t="array" ref="K10">_xlfn.XLOOKUP(Summary[[#Headers],[Chantilly]]&amp;"D2",DivTournamentList[[Helper]:[Helper]],DivTournamentList[[P_AWD_RG]:[P_AWD_RG]])</f>
        <v/>
      </c>
      <c r="L10" s="1">
        <f t="array" ref="L10">_xlfn.XLOOKUP(Summary[[#Headers],[Manassas_2]]&amp;"D2",DivTournamentList[[Helper]:[Helper]],DivTournamentList[[P_AWD_RG]:[P_AWD_RG]])</f>
        <v/>
      </c>
      <c r="M10" s="1">
        <f t="array" ref="M10">_xlfn.XLOOKUP(Summary[[#Headers],[Richmond]]&amp;"D2",DivTournamentList[[Helper]:[Helper]],DivTournamentList[[P_AWD_RG]:[P_AWD_RG]])</f>
        <v/>
      </c>
      <c r="N10" s="1">
        <f t="array" ref="N10">_xlfn.XLOOKUP(Summary[[#Headers],[DC-McKinley]]&amp;"D2",DivTournamentList[[Helper]:[Helper]],DivTournamentList[[P_AWD_RG]:[P_AWD_RG]])</f>
        <v/>
      </c>
      <c r="O10" s="1">
        <f t="array" ref="O10">_xlfn.XLOOKUP(Summary[[#Headers],[DC-Friendship]]&amp;"D2",DivTournamentList[[Helper]:[Helper]],DivTournamentList[[P_AWD_RG]:[P_AWD_RG]])</f>
        <v/>
      </c>
      <c r="P10" s="1">
        <f t="array" ref="P10">_xlfn.XLOOKUP(Summary[[#Headers],[Ashburn]]&amp;"D2",DivTournamentList[[Helper]:[Helper]],DivTournamentList[[P_AWD_RG]:[P_AWD_RG]])</f>
        <v/>
      </c>
      <c r="Q10" s="1">
        <f t="array" ref="Q10">_xlfn.XLOOKUP(Summary[[#Headers],[Alexandria]]&amp;"D2",DivTournamentList[[Helper]:[Helper]],DivTournamentList[[P_AWD_RG]:[P_AWD_RG]])</f>
        <v/>
      </c>
      <c r="R10" s="1">
        <f t="array" ref="R10">_xlfn.XLOOKUP(Summary[[#Headers],[Henrico_Freeman]]&amp;"D2",DivTournamentList[[Helper]:[Helper]],DivTournamentList[[P_AWD_RG]:[P_AWD_RG]])</f>
        <v/>
      </c>
      <c r="S10" s="1">
        <f t="array" ref="S10">_xlfn.XLOOKUP(Summary[[#Headers],[Hayfield_1]]&amp;"D2",DivTournamentList[[Helper]:[Helper]],DivTournamentList[[P_AWD_RG]:[P_AWD_RG]])</f>
        <v/>
      </c>
      <c r="T10" s="1">
        <f t="array" ref="T10">_xlfn.XLOOKUP(Summary[[#Headers],[Hayfield_2]]&amp;"D2",DivTournamentList[[Helper]:[Helper]],DivTournamentList[[P_AWD_RG]:[P_AWD_RG]])</f>
        <v/>
      </c>
      <c r="U10" s="1">
        <f t="array" ref="U10">_xlfn.XLOOKUP(Summary[[#Headers],[Test]]&amp;"D2",DivTournamentList[[Helper]:[Helper]],DivTournamentList[[P_AWD_RG]:[P_AWD_RG]])</f>
        <v/>
      </c>
    </row>
    <row r="11">
      <c r="A11" s="1" t="inlineStr">
        <is>
          <t>D1 Awards</t>
        </is>
      </c>
      <c r="B11" s="1">
        <f>B7+B9</f>
        <v/>
      </c>
      <c r="C11" s="1">
        <f>C7+C9</f>
        <v/>
      </c>
      <c r="D11" s="1">
        <f>D7+D9</f>
        <v/>
      </c>
      <c r="E11" s="1">
        <f>E7+E9</f>
        <v/>
      </c>
      <c r="F11" s="1">
        <f>F7+F9</f>
        <v/>
      </c>
      <c r="G11" s="1">
        <f>G7+G9</f>
        <v/>
      </c>
      <c r="H11" s="1">
        <f>H7+H9</f>
        <v/>
      </c>
      <c r="I11" s="1">
        <f>I7+I9</f>
        <v/>
      </c>
      <c r="J11" s="1">
        <f>J7+J9</f>
        <v/>
      </c>
      <c r="K11" s="1">
        <f>K7+K9</f>
        <v/>
      </c>
      <c r="L11" s="1">
        <f>L7+L9</f>
        <v/>
      </c>
      <c r="M11" s="1">
        <f>M7+M9</f>
        <v/>
      </c>
      <c r="N11" s="1">
        <f>N7+N9</f>
        <v/>
      </c>
      <c r="O11" s="1">
        <f>O7+O9</f>
        <v/>
      </c>
      <c r="P11" s="1">
        <f>P7+P9</f>
        <v/>
      </c>
      <c r="Q11" s="1">
        <f>Q7+Q9</f>
        <v/>
      </c>
      <c r="R11" s="1">
        <f>R7+R9</f>
        <v/>
      </c>
      <c r="S11" s="1">
        <f>S7+S9</f>
        <v/>
      </c>
      <c r="T11" s="1">
        <f>T7+T9</f>
        <v/>
      </c>
      <c r="U11" s="1">
        <f>U7+U9</f>
        <v/>
      </c>
    </row>
    <row r="12">
      <c r="A12" s="1" t="inlineStr">
        <is>
          <t>D2 Awards</t>
        </is>
      </c>
      <c r="B12" s="1">
        <f>B8+B10</f>
        <v/>
      </c>
      <c r="C12" s="1">
        <f>C8+C10</f>
        <v/>
      </c>
      <c r="D12" s="1">
        <f>D8+D10</f>
        <v/>
      </c>
      <c r="E12" s="1">
        <f>E8+E10</f>
        <v/>
      </c>
      <c r="F12" s="1">
        <f>F8+F10</f>
        <v/>
      </c>
      <c r="G12" s="1">
        <f>G8+G10</f>
        <v/>
      </c>
      <c r="H12" s="1">
        <f>H8+H10</f>
        <v/>
      </c>
      <c r="I12" s="1">
        <f>I8+I10</f>
        <v/>
      </c>
      <c r="J12" s="1">
        <f>J8+J10</f>
        <v/>
      </c>
      <c r="K12" s="1">
        <f>K8+K10</f>
        <v/>
      </c>
      <c r="L12" s="1">
        <f>L8+L10</f>
        <v/>
      </c>
      <c r="M12" s="1">
        <f>M8+M10</f>
        <v/>
      </c>
      <c r="N12" s="1">
        <f>N8+N10</f>
        <v/>
      </c>
      <c r="O12" s="1">
        <f>O8+O10</f>
        <v/>
      </c>
      <c r="P12" s="1">
        <f>P8+P10</f>
        <v/>
      </c>
      <c r="Q12" s="1">
        <f>Q8+Q10</f>
        <v/>
      </c>
      <c r="R12" s="1">
        <f>R8+R10</f>
        <v/>
      </c>
      <c r="S12" s="1">
        <f>S8+S10</f>
        <v/>
      </c>
      <c r="T12" s="1">
        <f>T8+T10</f>
        <v/>
      </c>
      <c r="U12" s="1">
        <f>U8+U10</f>
        <v/>
      </c>
    </row>
    <row r="13">
      <c r="A13" s="1" t="inlineStr">
        <is>
          <t>Total Tournament Awards</t>
        </is>
      </c>
      <c r="B13" s="1">
        <f>B5+B6+B11+B12</f>
        <v/>
      </c>
      <c r="C13" s="1">
        <f>C5+C6+C11+C12</f>
        <v/>
      </c>
      <c r="D13" s="1">
        <f>D5+D6+D11+D12</f>
        <v/>
      </c>
      <c r="E13" s="1">
        <f>E5+E6+E11+E12</f>
        <v/>
      </c>
      <c r="F13" s="1">
        <f>F5+F6+F11+F12</f>
        <v/>
      </c>
      <c r="G13" s="1">
        <f>G5+G6+G11+G12</f>
        <v/>
      </c>
      <c r="H13" s="1">
        <f>H5+H6+H11+H12</f>
        <v/>
      </c>
      <c r="I13" s="1">
        <f>I5+I6+I11+I12</f>
        <v/>
      </c>
      <c r="J13" s="1">
        <f>J5+J6+J11+J12</f>
        <v/>
      </c>
      <c r="K13" s="1">
        <f>K5+K6+K11+K12</f>
        <v/>
      </c>
      <c r="L13" s="1">
        <f>L5+L6+L11+L12</f>
        <v/>
      </c>
      <c r="M13" s="1">
        <f>M5+M6+M11+M12</f>
        <v/>
      </c>
      <c r="N13" s="1">
        <f>N5+N6+N11+N12</f>
        <v/>
      </c>
      <c r="O13" s="1">
        <f>O5+O6+O11+O12</f>
        <v/>
      </c>
      <c r="P13" s="1">
        <f>P5+P6+P11+P12</f>
        <v/>
      </c>
      <c r="Q13" s="1">
        <f>Q5+Q6+Q11+Q12</f>
        <v/>
      </c>
      <c r="R13" s="1">
        <f>R5+R6+R11+R12</f>
        <v/>
      </c>
      <c r="S13" s="1">
        <f>S5+S6+S11+S12</f>
        <v/>
      </c>
      <c r="T13" s="1">
        <f>T5+T6+T11+T12</f>
        <v/>
      </c>
      <c r="U13" s="1">
        <f>U5+U6+U11+U12</f>
        <v/>
      </c>
    </row>
    <row r="14">
      <c r="A14" s="1" t="inlineStr">
        <is>
          <t>Judged Awards Per Team</t>
        </is>
      </c>
      <c r="B14" s="2">
        <f>(B5+B7+B8)/B2</f>
        <v/>
      </c>
      <c r="C14" s="2">
        <f>(C5+C7+C8)/C2</f>
        <v/>
      </c>
      <c r="D14" s="2">
        <f>(D5+D7+D8)/D2</f>
        <v/>
      </c>
      <c r="E14" s="2">
        <f>(E5+E7+E8)/E2</f>
        <v/>
      </c>
      <c r="F14" s="2">
        <f>(F5+F7+F8)/F2</f>
        <v/>
      </c>
      <c r="G14" s="2">
        <f>(G5+G7+G8)/G2</f>
        <v/>
      </c>
      <c r="H14" s="2">
        <f>(H5+H7+H8)/H2</f>
        <v/>
      </c>
      <c r="I14" s="2">
        <f>(I5+I7+I8)/I2</f>
        <v/>
      </c>
      <c r="J14" s="2">
        <f>(J5+J7+J8)/J2</f>
        <v/>
      </c>
      <c r="K14" s="2">
        <f>(K5+K7+K8)/K2</f>
        <v/>
      </c>
      <c r="L14" s="2">
        <f>(L5+L7+L8)/L2</f>
        <v/>
      </c>
      <c r="M14" s="2">
        <f>(M5+M7+M8)/M2</f>
        <v/>
      </c>
      <c r="N14" s="2">
        <f>(N5+N7+N8)/N2</f>
        <v/>
      </c>
      <c r="O14" s="2">
        <f>(O5+O7+O8)/O2</f>
        <v/>
      </c>
      <c r="P14" s="2">
        <f>(P5+P7+P8)/P2</f>
        <v/>
      </c>
      <c r="Q14" s="2">
        <f>(Q5+Q7+Q8)/Q2</f>
        <v/>
      </c>
      <c r="R14" s="2">
        <f>(R5+R7+R8)/R2</f>
        <v/>
      </c>
      <c r="S14" s="2">
        <f>(S5+S7+S8)/S2</f>
        <v/>
      </c>
      <c r="T14" s="2">
        <f>(T5+T7+T8)/T2</f>
        <v/>
      </c>
      <c r="U14" s="2">
        <f>(U5+U7+U8)/U2</f>
        <v/>
      </c>
    </row>
    <row r="15">
      <c r="A15" s="1" t="inlineStr">
        <is>
          <t>Judged Awards Per D1 Team</t>
        </is>
      </c>
      <c r="B15" s="2">
        <f>(B7)/B3</f>
        <v/>
      </c>
      <c r="C15" s="2">
        <f>(C7)/C3</f>
        <v/>
      </c>
      <c r="D15" s="2">
        <f>(D7)/D3</f>
        <v/>
      </c>
      <c r="E15" s="2">
        <f>(E7)/E3</f>
        <v/>
      </c>
      <c r="F15" s="2">
        <f>(F7)/F3</f>
        <v/>
      </c>
      <c r="G15" s="2">
        <f>(G7)/G3</f>
        <v/>
      </c>
      <c r="H15" s="2">
        <f>(H7)/H3</f>
        <v/>
      </c>
      <c r="I15" s="2">
        <f>(I7)/I3</f>
        <v/>
      </c>
      <c r="J15" s="2">
        <f>(J7)/J3</f>
        <v/>
      </c>
      <c r="K15" s="2">
        <f>(K7)/K3</f>
        <v/>
      </c>
      <c r="L15" s="2">
        <f>(L7)/L3</f>
        <v/>
      </c>
      <c r="M15" s="2">
        <f>(M7)/M3</f>
        <v/>
      </c>
      <c r="N15" s="2">
        <f>(N7)/N3</f>
        <v/>
      </c>
      <c r="O15" s="2">
        <f>(O7)/O3</f>
        <v/>
      </c>
      <c r="P15" s="2">
        <f>(P7)/P3</f>
        <v/>
      </c>
      <c r="Q15" s="2">
        <f>(Q7)/Q3</f>
        <v/>
      </c>
      <c r="R15" s="2">
        <f>(R7)/R3</f>
        <v/>
      </c>
      <c r="S15" s="2">
        <f>(S7)/S3</f>
        <v/>
      </c>
      <c r="T15" s="2">
        <f>(T7)/T3</f>
        <v/>
      </c>
      <c r="U15" s="2">
        <f>(U7)/U3</f>
        <v/>
      </c>
    </row>
    <row r="16">
      <c r="A16" s="1" t="inlineStr">
        <is>
          <t>Judged Awards Per D2 Team</t>
        </is>
      </c>
      <c r="B16" s="2">
        <f>(B8+B5)/B4</f>
        <v/>
      </c>
      <c r="C16" s="2">
        <f>(C8+C5)/C4</f>
        <v/>
      </c>
      <c r="D16" s="2">
        <f>(D8+D5)/D4</f>
        <v/>
      </c>
      <c r="E16" s="2">
        <f>(E8+E5)/E4</f>
        <v/>
      </c>
      <c r="F16" s="2">
        <f>(F8+F5)/F4</f>
        <v/>
      </c>
      <c r="G16" s="2">
        <f>(G8+G5)/G4</f>
        <v/>
      </c>
      <c r="H16" s="2">
        <f>(H8+H5)/H4</f>
        <v/>
      </c>
      <c r="I16" s="2">
        <f>(I8+I5)/I4</f>
        <v/>
      </c>
      <c r="J16" s="2">
        <f>(J8+J5)/J4</f>
        <v/>
      </c>
      <c r="K16" s="2">
        <f>(K8+K5)/K4</f>
        <v/>
      </c>
      <c r="L16" s="2">
        <f>(L8+L5)/L4</f>
        <v/>
      </c>
      <c r="M16" s="2">
        <f>(M8+M5)/M4</f>
        <v/>
      </c>
      <c r="N16" s="2">
        <f>(N8+N5)/N4</f>
        <v/>
      </c>
      <c r="O16" s="2">
        <f>(O8+O5)/O4</f>
        <v/>
      </c>
      <c r="P16" s="2">
        <f>(P8+P5)/P4</f>
        <v/>
      </c>
      <c r="Q16" s="2">
        <f>(Q8+Q5)/Q4</f>
        <v/>
      </c>
      <c r="R16" s="2">
        <f>(R8+R5)/R4</f>
        <v/>
      </c>
      <c r="S16" s="2">
        <f>(S8+S5)/S4</f>
        <v/>
      </c>
      <c r="T16" s="2">
        <f>(T8+T5)/T4</f>
        <v/>
      </c>
      <c r="U16" s="2">
        <f>(U8+U5)/U4</f>
        <v/>
      </c>
    </row>
    <row r="17">
      <c r="A17" s="1" t="inlineStr">
        <is>
          <t>Ribbons</t>
        </is>
      </c>
      <c r="B17" s="1">
        <f>SUMIFS(Assignments[Mem],Assignments[Short Name],B1)</f>
        <v/>
      </c>
      <c r="C17" s="1">
        <f>SUMIFS(Assignments[Mem],Assignments[Short Name],C1)</f>
        <v/>
      </c>
      <c r="D17" s="1">
        <f>SUMIFS(Assignments[Mem],Assignments[Short Name],D1)</f>
        <v/>
      </c>
      <c r="E17" s="1">
        <f>SUMIFS(Assignments[Mem],Assignments[Short Name],E1)</f>
        <v/>
      </c>
      <c r="F17" s="1">
        <f>SUMIFS(Assignments[Mem],Assignments[Short Name],F1)</f>
        <v/>
      </c>
      <c r="G17" s="1">
        <f>SUMIFS(Assignments[Mem],Assignments[Short Name],G1)</f>
        <v/>
      </c>
      <c r="H17" s="1">
        <f>SUMIFS(Assignments[Mem],Assignments[Short Name],H1)</f>
        <v/>
      </c>
      <c r="I17" s="1">
        <f>SUMIFS(Assignments[Mem],Assignments[Short Name],I1)</f>
        <v/>
      </c>
      <c r="J17" s="1">
        <f>SUMIFS(Assignments[Mem],Assignments[Short Name],J1)</f>
        <v/>
      </c>
      <c r="K17" s="1">
        <f>SUMIFS(Assignments[Mem],Assignments[Short Name],K1)</f>
        <v/>
      </c>
      <c r="L17" s="1">
        <f>SUMIFS(Assignments[Mem],Assignments[Short Name],L1)</f>
        <v/>
      </c>
      <c r="M17" s="1">
        <f>SUMIFS(Assignments[Mem],Assignments[Short Name],M1)</f>
        <v/>
      </c>
      <c r="N17" s="1">
        <f>SUMIFS(Assignments[Mem],Assignments[Short Name],N1)</f>
        <v/>
      </c>
      <c r="O17" s="1">
        <f>SUMIFS(Assignments[Mem],Assignments[Short Name],O1)</f>
        <v/>
      </c>
      <c r="P17" s="1">
        <f>SUMIFS(Assignments[Mem],Assignments[Short Name],P1)</f>
        <v/>
      </c>
      <c r="Q17" s="1">
        <f>SUMIFS(Assignments[Mem],Assignments[Short Name],Q1)</f>
        <v/>
      </c>
      <c r="R17" s="1">
        <f>SUMIFS(Assignments[Mem],Assignments[Short Name],R1)</f>
        <v/>
      </c>
      <c r="S17" s="1">
        <f>SUMIFS(Assignments[Mem],Assignments[Short Name],S1)</f>
        <v/>
      </c>
      <c r="T17" s="1">
        <f>SUMIFS(Assignments[Mem],Assignments[Short Name],T1)</f>
        <v/>
      </c>
      <c r="U17" s="1">
        <f>SUMIFS(Assignments[Mem],Assignments[Short Name],U1)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2" sqref="A2"/>
    </sheetView>
  </sheetViews>
  <sheetFormatPr baseColWidth="8" defaultRowHeight="15"/>
  <cols>
    <col width="14.42578125" customWidth="1" min="1" max="1"/>
    <col width="35" customWidth="1" min="2" max="2"/>
    <col width="11.42578125" customWidth="1" min="3" max="3"/>
    <col width="12" customWidth="1" min="4" max="4"/>
    <col width="12" bestFit="1" customWidth="1" min="5" max="5"/>
    <col width="61.7109375" bestFit="1" customWidth="1" min="6" max="6"/>
    <col width="17.42578125" bestFit="1" customWidth="1" min="7" max="8"/>
    <col width="13" customWidth="1" min="8" max="8"/>
    <col width="12.28515625" bestFit="1" customWidth="1" min="9" max="9"/>
    <col width="13" bestFit="1" customWidth="1" min="10" max="10"/>
    <col width="13.5703125" bestFit="1" customWidth="1" min="11" max="11"/>
    <col width="7.140625" bestFit="1" customWidth="1" min="12" max="12"/>
    <col width="16.7109375" bestFit="1" customWidth="1" min="13" max="13"/>
    <col width="12.7109375" bestFit="1" customWidth="1" min="14" max="14"/>
    <col width="15.7109375" customWidth="1" min="15" max="15"/>
    <col width="12.5703125" customWidth="1" min="16" max="16"/>
  </cols>
  <sheetData>
    <row r="1">
      <c r="A1" s="1" t="inlineStr">
        <is>
          <t>Short Name</t>
        </is>
      </c>
      <c r="B1" s="1" t="inlineStr">
        <is>
          <t>Long Name</t>
        </is>
      </c>
      <c r="C1" s="1" t="inlineStr">
        <is>
          <t>Date</t>
        </is>
      </c>
      <c r="D1" s="1" t="inlineStr">
        <is>
          <t>Div</t>
        </is>
      </c>
      <c r="E1" s="1" t="inlineStr">
        <is>
          <t>Helper</t>
        </is>
      </c>
      <c r="F1" s="1" t="inlineStr">
        <is>
          <t>OJS_FileName</t>
        </is>
      </c>
      <c r="G1" s="5" t="inlineStr">
        <is>
          <t>J_AWD_CHAMP</t>
        </is>
      </c>
      <c r="H1" s="5" t="inlineStr">
        <is>
          <t>J_AWD_RD</t>
        </is>
      </c>
      <c r="I1" s="5" t="inlineStr">
        <is>
          <t>J_AWD_IP</t>
        </is>
      </c>
      <c r="J1" s="5" t="inlineStr">
        <is>
          <t>J_AWD_CV</t>
        </is>
      </c>
      <c r="K1" s="5" t="inlineStr">
        <is>
          <t>P_AWD_RG</t>
        </is>
      </c>
      <c r="L1" s="5" t="inlineStr">
        <is>
          <t>ADV</t>
        </is>
      </c>
      <c r="M1" s="5" t="inlineStr">
        <is>
          <t>J_AWD_Judges</t>
        </is>
      </c>
      <c r="N1" s="5" t="inlineStr">
        <is>
          <t>J_AWD_BT</t>
        </is>
      </c>
      <c r="O1" s="5" t="inlineStr">
        <is>
          <t>J_AWD_RisAll</t>
        </is>
      </c>
      <c r="P1" s="5" t="inlineStr">
        <is>
          <t>J_AWD_CL</t>
        </is>
      </c>
    </row>
    <row r="2">
      <c r="A2" s="1" t="n"/>
      <c r="C2" s="4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</sheetData>
  <dataValidations count="1">
    <dataValidation sqref="D2:D1000" showDropDown="0" showInputMessage="0" showErrorMessage="1" allowBlank="0" errorTitle="Division required" error="Choose D1 or D2." type="list">
      <formula1>"D1,D2"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tabSelected="1" workbookViewId="0">
      <selection activeCell="F3" sqref="F3"/>
    </sheetView>
  </sheetViews>
  <sheetFormatPr baseColWidth="8" defaultRowHeight="15"/>
  <cols>
    <col width="23.7109375" customWidth="1" min="1" max="1"/>
    <col width="51.140625" bestFit="1" customWidth="1" min="2" max="2"/>
    <col width="10.42578125" bestFit="1" customWidth="1" min="3" max="3"/>
    <col width="6.28515625" bestFit="1" customWidth="1" min="4" max="4"/>
    <col width="23.7109375" customWidth="1" min="5" max="5"/>
    <col width="59.85546875" bestFit="1" customWidth="1" min="6" max="6"/>
    <col width="17" bestFit="1" customWidth="1" min="7" max="7"/>
    <col width="12.85546875" bestFit="1" customWidth="1" min="8" max="8"/>
    <col width="11.85546875" bestFit="1" customWidth="1" min="9" max="9"/>
    <col width="12.7109375" bestFit="1" customWidth="1" min="10" max="10"/>
    <col width="13.28515625" bestFit="1" customWidth="1" min="11" max="11"/>
    <col width="7" bestFit="1" customWidth="1" min="12" max="12"/>
    <col width="19" bestFit="1" customWidth="1" min="13" max="13"/>
    <col width="12" customWidth="1" min="14" max="14"/>
    <col width="12" customWidth="1" min="15" max="15"/>
    <col width="12" customWidth="1" min="16" max="16"/>
  </cols>
  <sheetData>
    <row r="1">
      <c r="A1" t="inlineStr">
        <is>
          <t>Short Name</t>
        </is>
      </c>
      <c r="B1" t="inlineStr">
        <is>
          <t>Long Name</t>
        </is>
      </c>
      <c r="C1" t="inlineStr">
        <is>
          <t>Date</t>
        </is>
      </c>
      <c r="D1" t="inlineStr">
        <is>
          <t>Div</t>
        </is>
      </c>
      <c r="E1" t="inlineStr">
        <is>
          <t>Helper</t>
        </is>
      </c>
      <c r="F1" t="inlineStr">
        <is>
          <t>OJS_FileName</t>
        </is>
      </c>
      <c r="G1" t="inlineStr">
        <is>
          <t>J_AWD_CHAMP</t>
        </is>
      </c>
      <c r="H1" t="inlineStr">
        <is>
          <t>J_AWD_RD</t>
        </is>
      </c>
      <c r="I1" t="inlineStr">
        <is>
          <t>J_AWD_IP</t>
        </is>
      </c>
      <c r="J1" t="inlineStr">
        <is>
          <t>J_AWD_CV</t>
        </is>
      </c>
      <c r="K1" t="inlineStr">
        <is>
          <t>P_AWD_RG</t>
        </is>
      </c>
      <c r="L1" t="inlineStr">
        <is>
          <t>ADV</t>
        </is>
      </c>
      <c r="M1" t="inlineStr">
        <is>
          <t>J_AWD_Judges</t>
        </is>
      </c>
      <c r="N1" t="inlineStr">
        <is>
          <t>J_AWD_BT</t>
        </is>
      </c>
      <c r="O1" t="inlineStr">
        <is>
          <t>J_AWD_RisAll</t>
        </is>
      </c>
      <c r="P1" t="inlineStr">
        <is>
          <t>J_AWD_CL</t>
        </is>
      </c>
    </row>
    <row r="2">
      <c r="A2" s="1" t="inlineStr">
        <is>
          <t>Rivermount_Haven</t>
        </is>
      </c>
      <c r="B2" t="inlineStr">
        <is>
          <t>Rivermount Haven 2025 Unearthed Qualifier Tournament</t>
        </is>
      </c>
      <c r="C2" s="6" t="n">
        <v>45997</v>
      </c>
      <c r="D2" t="inlineStr">
        <is>
          <t>D1</t>
        </is>
      </c>
      <c r="E2">
        <f>DivTournamentList[[#This Row],[Short Name]]&amp;DivTournamentList[[#This Row],[Div]]</f>
        <v/>
      </c>
      <c r="F2">
        <f>"2026-vadc-fll-challenge-Unearthed-ojs-" &amp; DivTournamentList[[#This Row],[Helper]] &amp; ".xlsm"</f>
        <v/>
      </c>
      <c r="G2" t="n">
        <v>2</v>
      </c>
      <c r="H2" t="n">
        <v>1</v>
      </c>
      <c r="I2" t="n">
        <v>1</v>
      </c>
      <c r="J2" t="n">
        <v>1</v>
      </c>
      <c r="K2" t="n">
        <v>2</v>
      </c>
      <c r="L2" t="n">
        <v>3</v>
      </c>
      <c r="M2" t="n">
        <v>2</v>
      </c>
      <c r="N2" s="1" t="n"/>
      <c r="O2" s="1" t="n"/>
      <c r="P2" s="1" t="n"/>
    </row>
    <row r="3">
      <c r="A3" s="1" t="inlineStr">
        <is>
          <t>Solara_Crest</t>
        </is>
      </c>
      <c r="B3" t="inlineStr">
        <is>
          <t>Solara Crest 2025 Unearthed Qualifier Tournament</t>
        </is>
      </c>
      <c r="C3" s="6" t="n">
        <v>45997</v>
      </c>
      <c r="D3" t="inlineStr">
        <is>
          <t>D1</t>
        </is>
      </c>
      <c r="E3">
        <f>DivTournamentList[[#This Row],[Short Name]]&amp;DivTournamentList[[#This Row],[Div]]</f>
        <v/>
      </c>
      <c r="F3">
        <f>"2026-vadc-fll-challenge-Unearthed-ojs-" &amp; DivTournamentList[[#This Row],[Helper]] &amp; ".xlsm"</f>
        <v/>
      </c>
      <c r="G3" t="n">
        <v>2</v>
      </c>
      <c r="H3" t="n">
        <v>1</v>
      </c>
      <c r="I3" t="n">
        <v>1</v>
      </c>
      <c r="J3" t="n">
        <v>1</v>
      </c>
      <c r="K3" t="n">
        <v>2</v>
      </c>
      <c r="L3" t="n">
        <v>4</v>
      </c>
      <c r="M3" t="n">
        <v>2</v>
      </c>
      <c r="N3" s="1" t="n"/>
      <c r="O3" s="1" t="n"/>
      <c r="P3" s="1" t="n"/>
    </row>
    <row r="4">
      <c r="A4" s="1" t="inlineStr">
        <is>
          <t>Brindlewick</t>
        </is>
      </c>
      <c r="B4" t="inlineStr">
        <is>
          <t>Brindlewick 2025 Unearthed Qualifier Tournament</t>
        </is>
      </c>
      <c r="C4" s="6" t="n">
        <v>45983</v>
      </c>
      <c r="D4" t="inlineStr">
        <is>
          <t>D1</t>
        </is>
      </c>
      <c r="E4">
        <f>DivTournamentList[[#This Row],[Short Name]]&amp;DivTournamentList[[#This Row],[Div]]</f>
        <v/>
      </c>
      <c r="F4">
        <f>"2026-vadc-fll-challenge-Unearthed-ojs-" &amp; DivTournamentList[[#This Row],[Helper]] &amp; ".xlsm"</f>
        <v/>
      </c>
      <c r="G4" t="n">
        <v>1</v>
      </c>
      <c r="H4" t="n">
        <v>1</v>
      </c>
      <c r="I4" t="n">
        <v>1</v>
      </c>
      <c r="J4" t="n">
        <v>1</v>
      </c>
      <c r="K4" t="n">
        <v>2</v>
      </c>
      <c r="L4" t="n">
        <v>2</v>
      </c>
      <c r="M4" t="n">
        <v>2</v>
      </c>
      <c r="N4" s="1" t="n"/>
      <c r="O4" s="1" t="n"/>
      <c r="P4" s="1" t="n"/>
    </row>
    <row r="5">
      <c r="A5" s="1" t="inlineStr">
        <is>
          <t>Northfall_Reach</t>
        </is>
      </c>
      <c r="B5" t="inlineStr">
        <is>
          <t>Northfall Reach 2025 Unearthed Qualifier Tournament</t>
        </is>
      </c>
      <c r="C5" s="6" t="n">
        <v>45997</v>
      </c>
      <c r="D5" t="inlineStr">
        <is>
          <t>D1</t>
        </is>
      </c>
      <c r="E5">
        <f>DivTournamentList[[#This Row],[Short Name]]&amp;DivTournamentList[[#This Row],[Div]]</f>
        <v/>
      </c>
      <c r="F5">
        <f>"2026-vadc-fll-challenge-Unearthed-ojs-" &amp; DivTournamentList[[#This Row],[Helper]] &amp; ".xlsm"</f>
        <v/>
      </c>
      <c r="G5" t="n">
        <v>1</v>
      </c>
      <c r="H5" t="n">
        <v>1</v>
      </c>
      <c r="I5" t="n">
        <v>1</v>
      </c>
      <c r="J5" t="n">
        <v>1</v>
      </c>
      <c r="K5" t="n">
        <v>2</v>
      </c>
      <c r="L5" t="n">
        <v>2</v>
      </c>
      <c r="M5" t="n">
        <v>2</v>
      </c>
      <c r="N5" s="1" t="n"/>
      <c r="O5" s="1" t="n"/>
      <c r="P5" s="1" t="n"/>
    </row>
    <row r="6">
      <c r="A6" s="1" t="inlineStr">
        <is>
          <t>Dunford</t>
        </is>
      </c>
      <c r="B6" t="inlineStr">
        <is>
          <t>Dunford 2025 Unearthed Qualifier Tournament</t>
        </is>
      </c>
      <c r="C6" s="6" t="n">
        <v>45976</v>
      </c>
      <c r="D6" t="inlineStr">
        <is>
          <t>D1</t>
        </is>
      </c>
      <c r="E6">
        <f>DivTournamentList[[#This Row],[Short Name]]&amp;DivTournamentList[[#This Row],[Div]]</f>
        <v/>
      </c>
      <c r="F6">
        <f>"2026-vadc-fll-challenge-Unearthed-ojs-" &amp; DivTournamentList[[#This Row],[Helper]] &amp; ".xlsm"</f>
        <v/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2</v>
      </c>
      <c r="N6" s="1" t="n"/>
      <c r="O6" s="1" t="n"/>
      <c r="P6" s="1" t="n"/>
    </row>
    <row r="7">
      <c r="A7" s="1" t="inlineStr">
        <is>
          <t>Marinth_Bay</t>
        </is>
      </c>
      <c r="B7" t="inlineStr">
        <is>
          <t>Marinth Bay 2025 Unearthed Qualifier Tournament</t>
        </is>
      </c>
      <c r="C7" s="6" t="n">
        <v>46005</v>
      </c>
      <c r="D7" t="inlineStr">
        <is>
          <t>D1</t>
        </is>
      </c>
      <c r="E7">
        <f>DivTournamentList[[#This Row],[Short Name]]&amp;DivTournamentList[[#This Row],[Div]]</f>
        <v/>
      </c>
      <c r="F7">
        <f>"2026-vadc-fll-challenge-Unearthed-ojs-" &amp; DivTournamentList[[#This Row],[Helper]] &amp; ".xlsm"</f>
        <v/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2</v>
      </c>
      <c r="M7" t="n">
        <v>1</v>
      </c>
      <c r="N7" s="1" t="n"/>
      <c r="O7" s="1" t="n"/>
      <c r="P7" s="1" t="n"/>
    </row>
    <row r="8">
      <c r="A8" s="1" t="inlineStr">
        <is>
          <t>Ironvale_Junction</t>
        </is>
      </c>
      <c r="B8" t="inlineStr">
        <is>
          <t>Ironvale Junction 2025 Unearthed Qualifier Tournament</t>
        </is>
      </c>
      <c r="C8" s="6" t="n">
        <v>45976</v>
      </c>
      <c r="D8" t="inlineStr">
        <is>
          <t>D1</t>
        </is>
      </c>
      <c r="E8">
        <f>DivTournamentList[[#This Row],[Short Name]]&amp;DivTournamentList[[#This Row],[Div]]</f>
        <v/>
      </c>
      <c r="F8">
        <f>"2026-vadc-fll-challenge-Unearthed-ojs-" &amp; DivTournamentList[[#This Row],[Helper]] &amp; ".xlsm"</f>
        <v/>
      </c>
      <c r="G8" t="n">
        <v>2</v>
      </c>
      <c r="H8" t="n">
        <v>1</v>
      </c>
      <c r="I8" t="n">
        <v>1</v>
      </c>
      <c r="J8" t="n">
        <v>1</v>
      </c>
      <c r="K8" t="n">
        <v>3</v>
      </c>
      <c r="L8" t="n">
        <v>4</v>
      </c>
      <c r="M8" t="n">
        <v>3</v>
      </c>
      <c r="N8" s="1" t="n"/>
      <c r="O8" s="1" t="n"/>
      <c r="P8" s="1" t="n"/>
    </row>
    <row r="9">
      <c r="A9" s="1" t="inlineStr">
        <is>
          <t>Cinderbrook1</t>
        </is>
      </c>
      <c r="B9" t="inlineStr">
        <is>
          <t>Cinderbrook 2025 Unearthed Qualifier Tournament</t>
        </is>
      </c>
      <c r="C9" s="6" t="n">
        <v>45997</v>
      </c>
      <c r="D9" t="inlineStr">
        <is>
          <t>D1</t>
        </is>
      </c>
      <c r="E9">
        <f>DivTournamentList[[#This Row],[Short Name]]&amp;DivTournamentList[[#This Row],[Div]]</f>
        <v/>
      </c>
      <c r="F9">
        <f>"2026-vadc-fll-challenge-Unearthed-ojs-" &amp; DivTournamentList[[#This Row],[Helper]] &amp; ".xlsm"</f>
        <v/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s="1" t="n"/>
      <c r="O9" s="1" t="n"/>
      <c r="P9" s="1" t="n"/>
    </row>
    <row r="10">
      <c r="A10" s="1" t="inlineStr">
        <is>
          <t>Velastra_Heights</t>
        </is>
      </c>
      <c r="B10" t="inlineStr">
        <is>
          <t>Velastra Heights 2025 Unearthed Qualifier Tournament</t>
        </is>
      </c>
      <c r="C10" s="6" t="n">
        <v>45976</v>
      </c>
      <c r="D10" t="inlineStr">
        <is>
          <t>D1</t>
        </is>
      </c>
      <c r="E10">
        <f>DivTournamentList[[#This Row],[Short Name]]&amp;DivTournamentList[[#This Row],[Div]]</f>
        <v/>
      </c>
      <c r="F10">
        <f>"2026-vadc-fll-challenge-Unearthed-ojs-" &amp; DivTournamentList[[#This Row],[Helper]] &amp; ".xlsm"</f>
        <v/>
      </c>
      <c r="G10" t="n">
        <v>2</v>
      </c>
      <c r="H10" t="n">
        <v>2</v>
      </c>
      <c r="I10" t="n">
        <v>2</v>
      </c>
      <c r="J10" t="n">
        <v>2</v>
      </c>
      <c r="K10" t="n">
        <v>3</v>
      </c>
      <c r="L10" t="n">
        <v>7</v>
      </c>
      <c r="M10" t="n">
        <v>3</v>
      </c>
      <c r="N10" s="1" t="n"/>
      <c r="O10" s="1" t="n"/>
      <c r="P10" s="1" t="n"/>
    </row>
    <row r="11">
      <c r="A11" s="1" t="inlineStr">
        <is>
          <t>Port_Halcyon</t>
        </is>
      </c>
      <c r="B11" t="inlineStr">
        <is>
          <t>Port Halcyon 2025 Unearthed Qualifier Tournament</t>
        </is>
      </c>
      <c r="C11" s="6" t="n">
        <v>45983</v>
      </c>
      <c r="D11" t="inlineStr">
        <is>
          <t>D1</t>
        </is>
      </c>
      <c r="E11">
        <f>DivTournamentList[[#This Row],[Short Name]]&amp;DivTournamentList[[#This Row],[Div]]</f>
        <v/>
      </c>
      <c r="F11">
        <f>"2026-vadc-fll-challenge-Unearthed-ojs-" &amp; DivTournamentList[[#This Row],[Helper]] &amp; ".xlsm"</f>
        <v/>
      </c>
      <c r="G11" t="n">
        <v>1</v>
      </c>
      <c r="H11" t="n">
        <v>1</v>
      </c>
      <c r="I11" t="n">
        <v>1</v>
      </c>
      <c r="J11" t="n">
        <v>1</v>
      </c>
      <c r="K11" t="n">
        <v>2</v>
      </c>
      <c r="L11" t="n">
        <v>2</v>
      </c>
      <c r="M11" t="n">
        <v>2</v>
      </c>
      <c r="N11" s="1" t="n"/>
      <c r="O11" s="1" t="n"/>
      <c r="P11" s="1" t="n"/>
    </row>
    <row r="12">
      <c r="A12" s="1" t="inlineStr">
        <is>
          <t>Thornridge_Hollow</t>
        </is>
      </c>
      <c r="B12" t="inlineStr">
        <is>
          <t>Thornridge Hollow 2025 Unearthed Qualifier Tournament</t>
        </is>
      </c>
      <c r="C12" s="6" t="n">
        <v>45977</v>
      </c>
      <c r="D12" t="inlineStr">
        <is>
          <t>D1</t>
        </is>
      </c>
      <c r="E12">
        <f>DivTournamentList[[#This Row],[Short Name]]&amp;DivTournamentList[[#This Row],[Div]]</f>
        <v/>
      </c>
      <c r="F12">
        <f>"2026-vadc-fll-challenge-Unearthed-ojs-" &amp; DivTournamentList[[#This Row],[Helper]] &amp; ".xlsm"</f>
        <v/>
      </c>
      <c r="G12" t="n">
        <v>2</v>
      </c>
      <c r="H12" t="n">
        <v>1</v>
      </c>
      <c r="I12" t="n">
        <v>1</v>
      </c>
      <c r="J12" t="n">
        <v>1</v>
      </c>
      <c r="K12" t="n">
        <v>3</v>
      </c>
      <c r="L12" t="n">
        <v>5</v>
      </c>
      <c r="M12" t="n">
        <v>3</v>
      </c>
      <c r="N12" s="1" t="n"/>
      <c r="O12" s="1" t="n"/>
      <c r="P12" s="1" t="n"/>
    </row>
    <row r="13">
      <c r="A13" s="1" t="inlineStr">
        <is>
          <t>Azurefen_City</t>
        </is>
      </c>
      <c r="B13" t="inlineStr">
        <is>
          <t>Azurefen City 2025 Unearthed Qualifier Tournament</t>
        </is>
      </c>
      <c r="C13" s="6" t="n">
        <v>45977</v>
      </c>
      <c r="D13" t="inlineStr">
        <is>
          <t>D1</t>
        </is>
      </c>
      <c r="E13">
        <f>DivTournamentList[[#This Row],[Short Name]]&amp;DivTournamentList[[#This Row],[Div]]</f>
        <v/>
      </c>
      <c r="F13">
        <f>"2026-vadc-fll-challenge-Unearthed-ojs-" &amp; DivTournamentList[[#This Row],[Helper]] &amp; ".xlsm"</f>
        <v/>
      </c>
      <c r="G13" t="n">
        <v>1</v>
      </c>
      <c r="H13" t="n">
        <v>1</v>
      </c>
      <c r="I13" t="n">
        <v>1</v>
      </c>
      <c r="J13" t="n">
        <v>1</v>
      </c>
      <c r="K13" t="n">
        <v>2</v>
      </c>
      <c r="L13" t="n">
        <v>3</v>
      </c>
      <c r="M13" t="n">
        <v>2</v>
      </c>
      <c r="N13" s="1" t="n"/>
      <c r="O13" s="1" t="n"/>
      <c r="P13" s="1" t="n"/>
    </row>
    <row r="14">
      <c r="A14" s="1" t="inlineStr">
        <is>
          <t>Redspire_Bluff</t>
        </is>
      </c>
      <c r="B14" t="inlineStr">
        <is>
          <t>Redspire Bluff 2025 Unearthed Qualifier Tournament</t>
        </is>
      </c>
      <c r="C14" s="6" t="n">
        <v>45983</v>
      </c>
      <c r="D14" t="inlineStr">
        <is>
          <t>D1</t>
        </is>
      </c>
      <c r="E14">
        <f>DivTournamentList[[#This Row],[Short Name]]&amp;DivTournamentList[[#This Row],[Div]]</f>
        <v/>
      </c>
      <c r="F14">
        <f>"2026-vadc-fll-challenge-Unearthed-ojs-" &amp; DivTournamentList[[#This Row],[Helper]] &amp; ".xlsm"</f>
        <v/>
      </c>
      <c r="G14" t="n">
        <v>2</v>
      </c>
      <c r="H14" t="n">
        <v>1</v>
      </c>
      <c r="I14" t="n">
        <v>1</v>
      </c>
      <c r="J14" t="n">
        <v>1</v>
      </c>
      <c r="K14" t="n">
        <v>2</v>
      </c>
      <c r="L14" t="n">
        <v>3</v>
      </c>
      <c r="M14" t="n">
        <v>2</v>
      </c>
      <c r="N14" s="1" t="n"/>
      <c r="O14" s="1" t="n"/>
      <c r="P14" s="1" t="n"/>
    </row>
    <row r="15">
      <c r="A15" s="1" t="inlineStr">
        <is>
          <t>Kestrelford</t>
        </is>
      </c>
      <c r="B15" t="inlineStr">
        <is>
          <t>Kestrelford 2025 Unearthed Qualifier Tournament</t>
        </is>
      </c>
      <c r="C15" s="6" t="n">
        <v>46004</v>
      </c>
      <c r="D15" t="inlineStr">
        <is>
          <t>D1</t>
        </is>
      </c>
      <c r="E15">
        <f>DivTournamentList[[#This Row],[Short Name]]&amp;DivTournamentList[[#This Row],[Div]]</f>
        <v/>
      </c>
      <c r="F15">
        <f>"2026-vadc-fll-challenge-Unearthed-ojs-" &amp; DivTournamentList[[#This Row],[Helper]] &amp; ".xlsm"</f>
        <v/>
      </c>
      <c r="G15" t="n">
        <v>1</v>
      </c>
      <c r="H15" t="n">
        <v>1</v>
      </c>
      <c r="I15" t="n">
        <v>1</v>
      </c>
      <c r="J15" t="n">
        <v>1</v>
      </c>
      <c r="K15" t="n">
        <v>2</v>
      </c>
      <c r="L15" t="n">
        <v>2</v>
      </c>
      <c r="M15" t="n">
        <v>2</v>
      </c>
      <c r="N15" s="1" t="n"/>
      <c r="O15" s="1" t="n"/>
      <c r="P15" s="1" t="n"/>
    </row>
    <row r="16">
      <c r="A16" s="1" t="inlineStr">
        <is>
          <t>Moonwell_Harbor</t>
        </is>
      </c>
      <c r="B16" t="inlineStr">
        <is>
          <t>Moonwell Harbor 2025 Unearthed Qualifier Tournament</t>
        </is>
      </c>
      <c r="C16" s="6" t="n">
        <v>45984</v>
      </c>
      <c r="D16" t="inlineStr">
        <is>
          <t>D1</t>
        </is>
      </c>
      <c r="E16">
        <f>DivTournamentList[[#This Row],[Short Name]]&amp;DivTournamentList[[#This Row],[Div]]</f>
        <v/>
      </c>
      <c r="F16">
        <f>"2026-vadc-fll-challenge-Unearthed-ojs-" &amp; DivTournamentList[[#This Row],[Helper]] &amp; ".xlsm"</f>
        <v/>
      </c>
      <c r="G16" t="n">
        <v>2</v>
      </c>
      <c r="H16" t="n">
        <v>1</v>
      </c>
      <c r="I16" t="n">
        <v>1</v>
      </c>
      <c r="J16" t="n">
        <v>1</v>
      </c>
      <c r="K16" t="n">
        <v>2</v>
      </c>
      <c r="L16" t="n">
        <v>3</v>
      </c>
      <c r="M16" t="n">
        <v>2</v>
      </c>
      <c r="N16" s="1" t="n"/>
      <c r="O16" s="1" t="n"/>
      <c r="P16" s="1" t="n"/>
    </row>
    <row r="17">
      <c r="A17" t="inlineStr">
        <is>
          <t>Driftstone_Flats</t>
        </is>
      </c>
      <c r="B17" t="inlineStr">
        <is>
          <t>Driftstone Flats 2025 Unearthed Qualifier Tournament</t>
        </is>
      </c>
      <c r="C17" s="6" t="n">
        <v>45977</v>
      </c>
      <c r="D17" t="inlineStr">
        <is>
          <t>D1</t>
        </is>
      </c>
      <c r="E17">
        <f>DivTournamentList[[#This Row],[Short Name]]&amp;DivTournamentList[[#This Row],[Div]]</f>
        <v/>
      </c>
      <c r="F17">
        <f>"2026-vadc-fll-challenge-Unearthed-ojs-" &amp; DivTournamentList[[#This Row],[Helper]] &amp; ".xlsm"</f>
        <v/>
      </c>
      <c r="G17" t="n">
        <v>1</v>
      </c>
      <c r="H17" t="n">
        <v>1</v>
      </c>
      <c r="I17" t="n">
        <v>1</v>
      </c>
      <c r="J17" t="n">
        <v>1</v>
      </c>
      <c r="K17" t="n">
        <v>2</v>
      </c>
      <c r="L17" t="n">
        <v>2</v>
      </c>
      <c r="M17" t="n">
        <v>2</v>
      </c>
    </row>
    <row r="18">
      <c r="A18" s="1" t="inlineStr">
        <is>
          <t>Silverhollow</t>
        </is>
      </c>
      <c r="B18" t="inlineStr">
        <is>
          <t>Silverhollow 2025 Unearthed Qualifier Tournament</t>
        </is>
      </c>
      <c r="C18" s="6" t="n">
        <v>46004</v>
      </c>
      <c r="D18" t="inlineStr">
        <is>
          <t>D1</t>
        </is>
      </c>
      <c r="E18">
        <f>DivTournamentList[[#This Row],[Short Name]]&amp;DivTournamentList[[#This Row],[Div]]</f>
        <v/>
      </c>
      <c r="F18">
        <f>"2026-vadc-fll-challenge-Unearthed-ojs-" &amp; DivTournamentList[[#This Row],[Helper]] &amp; ".xlsm"</f>
        <v/>
      </c>
      <c r="G18" t="n">
        <v>1</v>
      </c>
      <c r="H18" t="n">
        <v>1</v>
      </c>
      <c r="I18" t="n">
        <v>1</v>
      </c>
      <c r="J18" t="n">
        <v>1</v>
      </c>
      <c r="K18" t="n">
        <v>2</v>
      </c>
      <c r="L18" t="n">
        <v>2</v>
      </c>
      <c r="M18" t="n">
        <v>2</v>
      </c>
      <c r="N18" s="1" t="n"/>
      <c r="O18" s="1" t="n"/>
      <c r="P18" s="1" t="n"/>
    </row>
    <row r="19">
      <c r="A19" s="1" t="inlineStr">
        <is>
          <t>Windmere_Gate</t>
        </is>
      </c>
      <c r="B19" t="inlineStr">
        <is>
          <t>Windmere Gate 2025 Unearthed Qualifier Tournament</t>
        </is>
      </c>
      <c r="C19" s="6" t="n">
        <v>46004</v>
      </c>
      <c r="D19" t="inlineStr">
        <is>
          <t>D1</t>
        </is>
      </c>
      <c r="E19">
        <f>DivTournamentList[[#This Row],[Short Name]]&amp;DivTournamentList[[#This Row],[Div]]</f>
        <v/>
      </c>
      <c r="F19">
        <f>"2026-vadc-fll-challenge-Unearthed-ojs-" &amp; DivTournamentList[[#This Row],[Helper]] &amp; ".xlsm"</f>
        <v/>
      </c>
      <c r="G19" t="n">
        <v>2</v>
      </c>
      <c r="H19" t="n">
        <v>1</v>
      </c>
      <c r="I19" t="n">
        <v>1</v>
      </c>
      <c r="J19" t="n">
        <v>1</v>
      </c>
      <c r="K19" t="n">
        <v>2</v>
      </c>
      <c r="L19" t="n">
        <v>3</v>
      </c>
      <c r="M19" t="n">
        <v>2</v>
      </c>
      <c r="N19" s="1" t="n"/>
      <c r="O19" s="1" t="n"/>
      <c r="P19" s="1" t="n"/>
    </row>
    <row r="20">
      <c r="A20" s="1" t="inlineStr">
        <is>
          <t>Praxion_Delta</t>
        </is>
      </c>
      <c r="B20" t="inlineStr">
        <is>
          <t>Praxion Delta 2025 Unearthed Qualifier Tournament</t>
        </is>
      </c>
      <c r="C20" s="6" t="n">
        <v>46005</v>
      </c>
      <c r="D20" t="inlineStr">
        <is>
          <t>D1</t>
        </is>
      </c>
      <c r="E20">
        <f>DivTournamentList[[#This Row],[Short Name]]&amp;DivTournamentList[[#This Row],[Div]]</f>
        <v/>
      </c>
      <c r="F20">
        <f>"2026-vadc-fll-challenge-Unearthed-ojs-" &amp; DivTournamentList[[#This Row],[Helper]] &amp; ".xlsm"</f>
        <v/>
      </c>
      <c r="G20" t="n">
        <v>1</v>
      </c>
      <c r="H20" t="n">
        <v>1</v>
      </c>
      <c r="I20" t="n">
        <v>1</v>
      </c>
      <c r="J20" t="n">
        <v>1</v>
      </c>
      <c r="K20" t="n">
        <v>2</v>
      </c>
      <c r="L20" t="n">
        <v>2</v>
      </c>
      <c r="M20" t="n">
        <v>2</v>
      </c>
      <c r="N20" s="1" t="n"/>
      <c r="O20" s="1" t="n"/>
      <c r="P20" s="1" t="n"/>
    </row>
    <row r="21">
      <c r="A21" s="1" t="inlineStr">
        <is>
          <t>Rivermount_Haven</t>
        </is>
      </c>
      <c r="B21" t="inlineStr">
        <is>
          <t>Rivermount Haven 2025 Unearthed Qualifier Tournament</t>
        </is>
      </c>
      <c r="C21" s="6" t="n">
        <v>45997</v>
      </c>
      <c r="D21" t="inlineStr">
        <is>
          <t>D2</t>
        </is>
      </c>
      <c r="E21">
        <f>DivTournamentList[[#This Row],[Short Name]]&amp;DivTournamentList[[#This Row],[Div]]</f>
        <v/>
      </c>
      <c r="F21">
        <f>"2026-vadc-fll-challenge-Unearthed-ojs-" &amp; DivTournamentList[[#This Row],[Helper]] &amp; ".xlsm"</f>
        <v/>
      </c>
      <c r="G21" t="n">
        <v>2</v>
      </c>
      <c r="H21" t="n">
        <v>1</v>
      </c>
      <c r="I21" t="n">
        <v>1</v>
      </c>
      <c r="J21" t="n">
        <v>1</v>
      </c>
      <c r="K21" t="n">
        <v>3</v>
      </c>
      <c r="L21" t="n">
        <v>4</v>
      </c>
      <c r="M21" t="n">
        <v>3</v>
      </c>
      <c r="N21" s="1" t="n"/>
      <c r="O21" s="1" t="n"/>
      <c r="P21" s="1" t="n"/>
    </row>
    <row r="22">
      <c r="A22" s="1" t="inlineStr">
        <is>
          <t>Solara_Crest</t>
        </is>
      </c>
      <c r="B22" t="inlineStr">
        <is>
          <t>Solara Crest 2025 Unearthed Qualifier Tournament</t>
        </is>
      </c>
      <c r="C22" s="6" t="n">
        <v>45997</v>
      </c>
      <c r="D22" t="inlineStr">
        <is>
          <t>D2</t>
        </is>
      </c>
      <c r="E22">
        <f>DivTournamentList[[#This Row],[Short Name]]&amp;DivTournamentList[[#This Row],[Div]]</f>
        <v/>
      </c>
      <c r="F22">
        <f>"2026-vadc-fll-challenge-Unearthed-ojs-" &amp; DivTournamentList[[#This Row],[Helper]] &amp; ".xlsm"</f>
        <v/>
      </c>
      <c r="G22" t="n">
        <v>2</v>
      </c>
      <c r="H22" t="n">
        <v>1</v>
      </c>
      <c r="I22" t="n">
        <v>1</v>
      </c>
      <c r="J22" t="n">
        <v>1</v>
      </c>
      <c r="K22" t="n">
        <v>2</v>
      </c>
      <c r="L22" t="n">
        <v>3</v>
      </c>
      <c r="M22" t="n">
        <v>2</v>
      </c>
      <c r="N22" s="1" t="n"/>
      <c r="O22" s="1" t="n"/>
      <c r="P22" s="1" t="n"/>
    </row>
    <row r="23">
      <c r="A23" s="1" t="inlineStr">
        <is>
          <t>Brindlewick</t>
        </is>
      </c>
      <c r="B23" t="inlineStr">
        <is>
          <t>Brindlewick 2025 Unearthed Qualifier Tournament</t>
        </is>
      </c>
      <c r="C23" s="6" t="n">
        <v>45983</v>
      </c>
      <c r="D23" t="inlineStr">
        <is>
          <t>D2</t>
        </is>
      </c>
      <c r="E23">
        <f>DivTournamentList[[#This Row],[Short Name]]&amp;DivTournamentList[[#This Row],[Div]]</f>
        <v/>
      </c>
      <c r="F23">
        <f>"2026-vadc-fll-challenge-Unearthed-ojs-" &amp; DivTournamentList[[#This Row],[Helper]] &amp; ".xlsm"</f>
        <v/>
      </c>
      <c r="G23" t="n">
        <v>2</v>
      </c>
      <c r="H23" t="n">
        <v>1</v>
      </c>
      <c r="I23" t="n">
        <v>1</v>
      </c>
      <c r="J23" t="n">
        <v>1</v>
      </c>
      <c r="K23" t="n">
        <v>3</v>
      </c>
      <c r="L23" t="n">
        <v>4</v>
      </c>
      <c r="M23" t="n">
        <v>3</v>
      </c>
      <c r="N23" s="1" t="n"/>
      <c r="O23" s="1" t="n"/>
      <c r="P23" s="1" t="n"/>
    </row>
    <row r="24">
      <c r="A24" s="1" t="inlineStr">
        <is>
          <t>Northfall_Reach</t>
        </is>
      </c>
      <c r="B24" t="inlineStr">
        <is>
          <t>Northfall Reach 2025 Unearthed Qualifier Tournament</t>
        </is>
      </c>
      <c r="C24" s="6" t="n">
        <v>45997</v>
      </c>
      <c r="D24" t="inlineStr">
        <is>
          <t>D2</t>
        </is>
      </c>
      <c r="E24">
        <f>DivTournamentList[[#This Row],[Short Name]]&amp;DivTournamentList[[#This Row],[Div]]</f>
        <v/>
      </c>
      <c r="F24">
        <f>"2026-vadc-fll-challenge-Unearthed-ojs-" &amp; DivTournamentList[[#This Row],[Helper]] &amp; ".xlsm"</f>
        <v/>
      </c>
      <c r="G24" t="n">
        <v>2</v>
      </c>
      <c r="H24" t="n">
        <v>1</v>
      </c>
      <c r="I24" t="n">
        <v>1</v>
      </c>
      <c r="J24" t="n">
        <v>1</v>
      </c>
      <c r="K24" t="n">
        <v>2</v>
      </c>
      <c r="L24" t="n">
        <v>3</v>
      </c>
      <c r="M24" t="n">
        <v>2</v>
      </c>
      <c r="N24" s="1" t="n"/>
      <c r="O24" s="1" t="n"/>
      <c r="P24" s="1" t="n"/>
    </row>
    <row r="25">
      <c r="A25" s="1" t="inlineStr">
        <is>
          <t>Dunford</t>
        </is>
      </c>
      <c r="B25" t="inlineStr">
        <is>
          <t>Dunford 2025 Unearthed Qualifier Tournament</t>
        </is>
      </c>
      <c r="C25" s="6" t="n">
        <v>45976</v>
      </c>
      <c r="D25" t="inlineStr">
        <is>
          <t>D2</t>
        </is>
      </c>
      <c r="E25">
        <f>DivTournamentList[[#This Row],[Short Name]]&amp;DivTournamentList[[#This Row],[Div]]</f>
        <v/>
      </c>
      <c r="F25">
        <f>"2026-vadc-fll-challenge-Unearthed-ojs-" &amp; DivTournamentList[[#This Row],[Helper]] &amp; ".xlsm"</f>
        <v/>
      </c>
      <c r="G25" t="n">
        <v>2</v>
      </c>
      <c r="H25" t="n">
        <v>1</v>
      </c>
      <c r="I25" t="n">
        <v>1</v>
      </c>
      <c r="J25" t="n">
        <v>1</v>
      </c>
      <c r="K25" t="n">
        <v>2</v>
      </c>
      <c r="L25" t="n">
        <v>2</v>
      </c>
      <c r="M25" t="n">
        <v>2</v>
      </c>
      <c r="N25" s="1" t="n"/>
      <c r="O25" s="1" t="n"/>
      <c r="P25" s="1" t="n"/>
    </row>
    <row r="26">
      <c r="A26" s="1" t="inlineStr">
        <is>
          <t>Marinth_Bay</t>
        </is>
      </c>
      <c r="B26" t="inlineStr">
        <is>
          <t>Marinth Bay 2025 Unearthed Qualifier Tournament</t>
        </is>
      </c>
      <c r="C26" s="6" t="n">
        <v>46005</v>
      </c>
      <c r="D26" t="inlineStr">
        <is>
          <t>D2</t>
        </is>
      </c>
      <c r="E26">
        <f>DivTournamentList[[#This Row],[Short Name]]&amp;DivTournamentList[[#This Row],[Div]]</f>
        <v/>
      </c>
      <c r="F26">
        <f>"2026-vadc-fll-challenge-Unearthed-ojs-" &amp; DivTournamentList[[#This Row],[Helper]] &amp; ".xlsm"</f>
        <v/>
      </c>
      <c r="G26" t="n">
        <v>1</v>
      </c>
      <c r="H26" t="n">
        <v>1</v>
      </c>
      <c r="I26" t="n">
        <v>1</v>
      </c>
      <c r="J26" t="n">
        <v>1</v>
      </c>
      <c r="K26" t="n">
        <v>2</v>
      </c>
      <c r="L26" t="n">
        <v>2</v>
      </c>
      <c r="M26" t="n">
        <v>2</v>
      </c>
      <c r="N26" s="1" t="n"/>
      <c r="O26" s="1" t="n"/>
      <c r="P26" s="1" t="n"/>
    </row>
    <row r="27">
      <c r="A27" s="1" t="inlineStr">
        <is>
          <t>Ironvale_Junction</t>
        </is>
      </c>
      <c r="B27" t="inlineStr">
        <is>
          <t>Ironvale Junction 2025 Unearthed Qualifier Tournament</t>
        </is>
      </c>
      <c r="C27" s="6" t="n">
        <v>45976</v>
      </c>
      <c r="D27" t="inlineStr">
        <is>
          <t>D2</t>
        </is>
      </c>
      <c r="E27">
        <f>DivTournamentList[[#This Row],[Short Name]]&amp;DivTournamentList[[#This Row],[Div]]</f>
        <v/>
      </c>
      <c r="F27">
        <f>"2026-vadc-fll-challenge-Unearthed-ojs-" &amp; DivTournamentList[[#This Row],[Helper]] &amp; ".xlsm"</f>
        <v/>
      </c>
      <c r="G27" t="n">
        <v>2</v>
      </c>
      <c r="H27" t="n">
        <v>1</v>
      </c>
      <c r="I27" t="n">
        <v>1</v>
      </c>
      <c r="J27" t="n">
        <v>1</v>
      </c>
      <c r="K27" t="n">
        <v>2</v>
      </c>
      <c r="L27" t="n">
        <v>3</v>
      </c>
      <c r="M27" t="n">
        <v>2</v>
      </c>
      <c r="N27" s="1" t="n"/>
      <c r="O27" s="1" t="n"/>
      <c r="P27" s="1" t="n"/>
    </row>
    <row r="28">
      <c r="A28" s="1" t="inlineStr">
        <is>
          <t>Cinderbrook2</t>
        </is>
      </c>
      <c r="B28" t="inlineStr">
        <is>
          <t>Cinderbrook 2025 Unearthed Qualifier Tournament</t>
        </is>
      </c>
      <c r="C28" s="6" t="n">
        <v>45997</v>
      </c>
      <c r="D28" t="inlineStr">
        <is>
          <t>D2</t>
        </is>
      </c>
      <c r="E28">
        <f>DivTournamentList[[#This Row],[Short Name]]&amp;DivTournamentList[[#This Row],[Div]]</f>
        <v/>
      </c>
      <c r="F28">
        <f>"2026-vadc-fll-challenge-Unearthed-ojs-" &amp; DivTournamentList[[#This Row],[Helper]] &amp; ".xlsm"</f>
        <v/>
      </c>
      <c r="G28" t="n">
        <v>2</v>
      </c>
      <c r="H28" t="n">
        <v>1</v>
      </c>
      <c r="I28" t="n">
        <v>1</v>
      </c>
      <c r="J28" t="n">
        <v>1</v>
      </c>
      <c r="K28" t="n">
        <v>3</v>
      </c>
      <c r="L28" t="n">
        <v>5</v>
      </c>
      <c r="M28" t="n">
        <v>3</v>
      </c>
      <c r="N28" s="1" t="n"/>
      <c r="O28" s="1" t="n"/>
      <c r="P28" s="1" t="n"/>
    </row>
    <row r="29">
      <c r="A29" s="1" t="inlineStr">
        <is>
          <t>Velastra_Heights</t>
        </is>
      </c>
      <c r="B29" t="inlineStr">
        <is>
          <t>Velastra Heights 2025 Unearthed Qualifier Tournament</t>
        </is>
      </c>
      <c r="C29" s="6" t="n">
        <v>45976</v>
      </c>
      <c r="D29" t="inlineStr">
        <is>
          <t>D2</t>
        </is>
      </c>
      <c r="E29">
        <f>DivTournamentList[[#This Row],[Short Name]]&amp;DivTournamentList[[#This Row],[Div]]</f>
        <v/>
      </c>
      <c r="F29">
        <f>"2026-vadc-fll-challenge-Unearthed-ojs-" &amp; DivTournamentList[[#This Row],[Helper]] &amp; ".xlsm"</f>
        <v/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s="1" t="n"/>
      <c r="O29" s="1" t="n"/>
      <c r="P29" s="1" t="n"/>
    </row>
    <row r="30">
      <c r="A30" s="1" t="inlineStr">
        <is>
          <t>Port_Halcyon</t>
        </is>
      </c>
      <c r="B30" t="inlineStr">
        <is>
          <t>Port Halcyon 2025 Unearthed Qualifier Tournament</t>
        </is>
      </c>
      <c r="C30" s="6" t="n">
        <v>45983</v>
      </c>
      <c r="D30" t="inlineStr">
        <is>
          <t>D2</t>
        </is>
      </c>
      <c r="E30">
        <f>DivTournamentList[[#This Row],[Short Name]]&amp;DivTournamentList[[#This Row],[Div]]</f>
        <v/>
      </c>
      <c r="F30">
        <f>"2026-vadc-fll-challenge-Unearthed-ojs-" &amp; DivTournamentList[[#This Row],[Helper]] &amp; ".xlsm"</f>
        <v/>
      </c>
      <c r="G30" t="n">
        <v>2</v>
      </c>
      <c r="H30" t="n">
        <v>1</v>
      </c>
      <c r="I30" t="n">
        <v>1</v>
      </c>
      <c r="J30" t="n">
        <v>1</v>
      </c>
      <c r="K30" t="n">
        <v>3</v>
      </c>
      <c r="L30" t="n">
        <v>4</v>
      </c>
      <c r="M30" t="n">
        <v>3</v>
      </c>
      <c r="N30" s="1" t="n"/>
      <c r="O30" s="1" t="n"/>
      <c r="P30" s="1" t="n"/>
    </row>
    <row r="31">
      <c r="A31" s="1" t="inlineStr">
        <is>
          <t>Thornridge_Hollow</t>
        </is>
      </c>
      <c r="B31" t="inlineStr">
        <is>
          <t>Thornridge Hollow 2025 Unearthed Qualifier Tournament</t>
        </is>
      </c>
      <c r="C31" s="6" t="n">
        <v>45977</v>
      </c>
      <c r="D31" t="inlineStr">
        <is>
          <t>D2</t>
        </is>
      </c>
      <c r="E31">
        <f>DivTournamentList[[#This Row],[Short Name]]&amp;DivTournamentList[[#This Row],[Div]]</f>
        <v/>
      </c>
      <c r="F31">
        <f>"2026-vadc-fll-challenge-Unearthed-ojs-" &amp; DivTournamentList[[#This Row],[Helper]] &amp; ".xlsm"</f>
        <v/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2</v>
      </c>
      <c r="M31" t="n">
        <v>1</v>
      </c>
      <c r="N31" s="1" t="n"/>
      <c r="O31" s="1" t="n"/>
      <c r="P31" s="1" t="n"/>
    </row>
    <row r="32">
      <c r="A32" s="1" t="inlineStr">
        <is>
          <t>Azurefen_City</t>
        </is>
      </c>
      <c r="B32" t="inlineStr">
        <is>
          <t>Azurefen City 2025 Unearthed Qualifier Tournament</t>
        </is>
      </c>
      <c r="C32" s="6" t="n">
        <v>45977</v>
      </c>
      <c r="D32" t="inlineStr">
        <is>
          <t>D2</t>
        </is>
      </c>
      <c r="E32">
        <f>DivTournamentList[[#This Row],[Short Name]]&amp;DivTournamentList[[#This Row],[Div]]</f>
        <v/>
      </c>
      <c r="F32">
        <f>"2026-vadc-fll-challenge-Unearthed-ojs-" &amp; DivTournamentList[[#This Row],[Helper]] &amp; ".xlsm"</f>
        <v/>
      </c>
      <c r="G32" t="n">
        <v>1</v>
      </c>
      <c r="H32" t="n">
        <v>1</v>
      </c>
      <c r="I32" t="n">
        <v>1</v>
      </c>
      <c r="J32" t="n">
        <v>1</v>
      </c>
      <c r="K32" t="n">
        <v>2</v>
      </c>
      <c r="L32" t="n">
        <v>2</v>
      </c>
      <c r="M32" t="n">
        <v>2</v>
      </c>
      <c r="N32" s="1" t="n"/>
      <c r="O32" s="1" t="n"/>
      <c r="P32" s="1" t="n"/>
    </row>
    <row r="33">
      <c r="A33" s="1" t="inlineStr">
        <is>
          <t>Redspire_Bluff</t>
        </is>
      </c>
      <c r="B33" t="inlineStr">
        <is>
          <t>Redspire Bluff 2025 Unearthed Qualifier Tournament</t>
        </is>
      </c>
      <c r="C33" s="6" t="n">
        <v>45983</v>
      </c>
      <c r="D33" t="inlineStr">
        <is>
          <t>D2</t>
        </is>
      </c>
      <c r="E33">
        <f>DivTournamentList[[#This Row],[Short Name]]&amp;DivTournamentList[[#This Row],[Div]]</f>
        <v/>
      </c>
      <c r="F33">
        <f>"2026-vadc-fll-challenge-Unearthed-ojs-" &amp; DivTournamentList[[#This Row],[Helper]] &amp; ".xlsm"</f>
        <v/>
      </c>
      <c r="G33" t="n">
        <v>2</v>
      </c>
      <c r="H33" t="n">
        <v>1</v>
      </c>
      <c r="I33" t="n">
        <v>1</v>
      </c>
      <c r="J33" t="n">
        <v>1</v>
      </c>
      <c r="K33" t="n">
        <v>2</v>
      </c>
      <c r="L33" t="n">
        <v>3</v>
      </c>
      <c r="M33" t="n">
        <v>2</v>
      </c>
      <c r="N33" s="1" t="n"/>
      <c r="O33" s="1" t="n"/>
      <c r="P33" s="1" t="n"/>
    </row>
    <row r="34">
      <c r="A34" s="1" t="inlineStr">
        <is>
          <t>Moonwell_Harbor</t>
        </is>
      </c>
      <c r="B34" t="inlineStr">
        <is>
          <t>Moonwell Harbor 2025 Unearthed Qualifier Tournament</t>
        </is>
      </c>
      <c r="C34" s="6" t="n">
        <v>45984</v>
      </c>
      <c r="D34" t="inlineStr">
        <is>
          <t>D2</t>
        </is>
      </c>
      <c r="E34">
        <f>DivTournamentList[[#This Row],[Short Name]]&amp;DivTournamentList[[#This Row],[Div]]</f>
        <v/>
      </c>
      <c r="F34">
        <f>"2026-vadc-fll-challenge-Unearthed-ojs-" &amp; DivTournamentList[[#This Row],[Helper]] &amp; ".xlsm"</f>
        <v/>
      </c>
      <c r="G34" t="n">
        <v>2</v>
      </c>
      <c r="H34" t="n">
        <v>1</v>
      </c>
      <c r="I34" t="n">
        <v>1</v>
      </c>
      <c r="J34" t="n">
        <v>1</v>
      </c>
      <c r="K34" t="n">
        <v>2</v>
      </c>
      <c r="L34" t="n">
        <v>3</v>
      </c>
      <c r="M34" t="n">
        <v>2</v>
      </c>
      <c r="N34" s="1" t="n"/>
      <c r="O34" s="1" t="n"/>
      <c r="P34" s="1" t="n"/>
    </row>
    <row r="35">
      <c r="A35" t="inlineStr">
        <is>
          <t>Driftstone_Flats</t>
        </is>
      </c>
      <c r="B35" t="inlineStr">
        <is>
          <t>Driftstone Flats 2025 Unearthed Qualifier Tournament</t>
        </is>
      </c>
      <c r="C35" s="6" t="n">
        <v>45977</v>
      </c>
      <c r="D35" t="inlineStr">
        <is>
          <t>D2</t>
        </is>
      </c>
      <c r="E35">
        <f>DivTournamentList[[#This Row],[Short Name]]&amp;DivTournamentList[[#This Row],[Div]]</f>
        <v/>
      </c>
      <c r="F35">
        <f>"2026-vadc-fll-challenge-Unearthed-ojs-" &amp; DivTournamentList[[#This Row],[Helper]] &amp; ".xlsm"</f>
        <v/>
      </c>
      <c r="G35" t="n">
        <v>1</v>
      </c>
      <c r="H35" t="n">
        <v>1</v>
      </c>
      <c r="I35" t="n">
        <v>1</v>
      </c>
      <c r="J35" t="n">
        <v>1</v>
      </c>
      <c r="K35" t="n">
        <v>2</v>
      </c>
      <c r="L35" t="n">
        <v>3</v>
      </c>
      <c r="M35" t="n">
        <v>2</v>
      </c>
    </row>
    <row r="36">
      <c r="A36" s="1" t="inlineStr">
        <is>
          <t>Silverhollow</t>
        </is>
      </c>
      <c r="B36" t="inlineStr">
        <is>
          <t>Silverhollow 2025 Unearthed Qualifier Tournament</t>
        </is>
      </c>
      <c r="C36" s="6" t="n">
        <v>46004</v>
      </c>
      <c r="D36" t="inlineStr">
        <is>
          <t>D2</t>
        </is>
      </c>
      <c r="E36">
        <f>DivTournamentList[[#This Row],[Short Name]]&amp;DivTournamentList[[#This Row],[Div]]</f>
        <v/>
      </c>
      <c r="F36">
        <f>"2026-vadc-fll-challenge-Unearthed-ojs-" &amp; DivTournamentList[[#This Row],[Helper]] &amp; ".xlsm"</f>
        <v/>
      </c>
      <c r="G36" t="n">
        <v>2</v>
      </c>
      <c r="H36" t="n">
        <v>1</v>
      </c>
      <c r="I36" t="n">
        <v>1</v>
      </c>
      <c r="J36" t="n">
        <v>1</v>
      </c>
      <c r="K36" t="n">
        <v>3</v>
      </c>
      <c r="L36" t="n">
        <v>4</v>
      </c>
      <c r="M36" t="n">
        <v>3</v>
      </c>
      <c r="N36" s="1" t="n"/>
      <c r="O36" s="1" t="n"/>
      <c r="P36" s="1" t="n"/>
    </row>
    <row r="37">
      <c r="A37" s="1" t="inlineStr">
        <is>
          <t>Windmere_Gate</t>
        </is>
      </c>
      <c r="B37" t="inlineStr">
        <is>
          <t>Windmere Gate 2025 Unearthed Qualifier Tournament</t>
        </is>
      </c>
      <c r="C37" s="6" t="n">
        <v>46004</v>
      </c>
      <c r="D37" t="inlineStr">
        <is>
          <t>D2</t>
        </is>
      </c>
      <c r="E37">
        <f>DivTournamentList[[#This Row],[Short Name]]&amp;DivTournamentList[[#This Row],[Div]]</f>
        <v/>
      </c>
      <c r="F37">
        <f>"2026-vadc-fll-challenge-Unearthed-ojs-" &amp; DivTournamentList[[#This Row],[Helper]] &amp; ".xlsm"</f>
        <v/>
      </c>
      <c r="G37" t="n">
        <v>2</v>
      </c>
      <c r="H37" t="n">
        <v>1</v>
      </c>
      <c r="I37" t="n">
        <v>1</v>
      </c>
      <c r="J37" t="n">
        <v>1</v>
      </c>
      <c r="K37" t="n">
        <v>2</v>
      </c>
      <c r="L37" t="n">
        <v>4</v>
      </c>
      <c r="M37" t="n">
        <v>2</v>
      </c>
      <c r="N37" s="1" t="n"/>
      <c r="O37" s="1" t="n"/>
      <c r="P37" s="1" t="n"/>
    </row>
    <row r="38">
      <c r="A38" s="1" t="inlineStr">
        <is>
          <t>Praxion_Delta</t>
        </is>
      </c>
      <c r="B38" t="inlineStr">
        <is>
          <t>Praxion Delta 2025 Unearthed Qualifier Tournament</t>
        </is>
      </c>
      <c r="C38" s="6" t="n">
        <v>46005</v>
      </c>
      <c r="D38" t="inlineStr">
        <is>
          <t>D2</t>
        </is>
      </c>
      <c r="E38">
        <f>DivTournamentList[[#This Row],[Short Name]]&amp;DivTournamentList[[#This Row],[Div]]</f>
        <v/>
      </c>
      <c r="F38">
        <f>"2026-vadc-fll-challenge-Unearthed-ojs-" &amp; DivTournamentList[[#This Row],[Helper]] &amp; ".xlsm"</f>
        <v/>
      </c>
      <c r="G38" t="n">
        <v>2</v>
      </c>
      <c r="H38" t="n">
        <v>1</v>
      </c>
      <c r="I38" t="n">
        <v>1</v>
      </c>
      <c r="J38" t="n">
        <v>1</v>
      </c>
      <c r="K38" t="n">
        <v>3</v>
      </c>
      <c r="L38" t="n">
        <v>4</v>
      </c>
      <c r="M38" t="n">
        <v>3</v>
      </c>
      <c r="N38" s="1" t="n"/>
      <c r="O38" s="1" t="n"/>
      <c r="P38" s="1" t="n"/>
    </row>
  </sheetData>
  <dataValidations count="1">
    <dataValidation sqref="D2:D1000" showDropDown="0" showInputMessage="0" showErrorMessage="1" allowBlank="0" errorTitle="Division required" error="Choose D1 or D2." type="list">
      <formula1>"D1,D2"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8"/>
  <sheetViews>
    <sheetView topLeftCell="A140" workbookViewId="0">
      <selection activeCell="A165" sqref="A165:A177"/>
    </sheetView>
  </sheetViews>
  <sheetFormatPr baseColWidth="8" defaultRowHeight="15"/>
  <cols>
    <col width="18.85546875" bestFit="1" customWidth="1" min="1" max="1"/>
    <col width="9.28515625" bestFit="1" customWidth="1" min="2" max="2"/>
    <col width="46.7109375" bestFit="1" customWidth="1" min="3" max="3"/>
    <col width="45.7109375" bestFit="1" customWidth="1" min="4" max="4"/>
    <col width="50.42578125" bestFit="1" customWidth="1" min="5" max="5"/>
    <col width="5.85546875" bestFit="1" customWidth="1" min="6" max="6"/>
    <col width="7.140625" bestFit="1" customWidth="1" min="7" max="7"/>
  </cols>
  <sheetData>
    <row r="1">
      <c r="A1" t="inlineStr">
        <is>
          <t>Short Name</t>
        </is>
      </c>
      <c r="B1" t="inlineStr">
        <is>
          <t>Team #</t>
        </is>
      </c>
      <c r="C1" t="inlineStr">
        <is>
          <t>Team Name</t>
        </is>
      </c>
      <c r="D1" t="inlineStr">
        <is>
          <t>Coach Name</t>
        </is>
      </c>
      <c r="E1" t="inlineStr">
        <is>
          <t>Organization</t>
        </is>
      </c>
      <c r="F1" t="inlineStr">
        <is>
          <t>Div</t>
        </is>
      </c>
      <c r="G1" t="inlineStr">
        <is>
          <t>Mem</t>
        </is>
      </c>
      <c r="H1" t="inlineStr">
        <is>
          <t>State?</t>
        </is>
      </c>
    </row>
    <row r="2" ht="15.75" customHeight="1">
      <c r="A2" s="1" t="inlineStr">
        <is>
          <t>Rivermount_Haven</t>
        </is>
      </c>
      <c r="B2" t="n">
        <v>21747</v>
      </c>
      <c r="C2" t="inlineStr">
        <is>
          <t xml:space="preserve">Gear Gurus  </t>
        </is>
      </c>
      <c r="D2" t="inlineStr">
        <is>
          <t xml:space="preserve">Avery Collins  </t>
        </is>
      </c>
      <c r="E2" t="inlineStr">
        <is>
          <t xml:space="preserve">Ridgeview Academy  </t>
        </is>
      </c>
      <c r="F2" t="inlineStr">
        <is>
          <t>D1</t>
        </is>
      </c>
      <c r="G2" t="n">
        <v>6</v>
      </c>
      <c r="H2" s="3" t="n"/>
    </row>
    <row r="3" ht="15.75" customHeight="1">
      <c r="A3" s="1" t="inlineStr">
        <is>
          <t>Rivermount_Haven</t>
        </is>
      </c>
      <c r="B3" t="n">
        <v>23372</v>
      </c>
      <c r="C3" t="inlineStr">
        <is>
          <t xml:space="preserve">Robo Rascals  </t>
        </is>
      </c>
      <c r="D3" t="inlineStr">
        <is>
          <t xml:space="preserve">Jordan Ramirez  </t>
        </is>
      </c>
      <c r="E3" t="inlineStr">
        <is>
          <t xml:space="preserve">Maple Grove School  </t>
        </is>
      </c>
      <c r="F3" t="inlineStr">
        <is>
          <t>D1</t>
        </is>
      </c>
      <c r="G3" t="n">
        <v>7</v>
      </c>
      <c r="H3" s="3" t="n"/>
    </row>
    <row r="4" ht="15.75" customHeight="1">
      <c r="A4" s="1" t="inlineStr">
        <is>
          <t>Rivermount_Haven</t>
        </is>
      </c>
      <c r="B4" t="n">
        <v>23582</v>
      </c>
      <c r="C4" t="inlineStr">
        <is>
          <t xml:space="preserve">Byte‑Sized Builders  </t>
        </is>
      </c>
      <c r="D4" t="inlineStr">
        <is>
          <t xml:space="preserve">Taylor Benson  </t>
        </is>
      </c>
      <c r="E4" t="inlineStr">
        <is>
          <t xml:space="preserve">Cedar Valley Prep  </t>
        </is>
      </c>
      <c r="F4" t="inlineStr">
        <is>
          <t>D1</t>
        </is>
      </c>
      <c r="G4" t="n">
        <v>5</v>
      </c>
      <c r="H4" s="3" t="n"/>
    </row>
    <row r="5" ht="15.75" customHeight="1">
      <c r="A5" s="1" t="inlineStr">
        <is>
          <t>Rivermount_Haven</t>
        </is>
      </c>
      <c r="B5" t="n">
        <v>29553</v>
      </c>
      <c r="C5" t="inlineStr">
        <is>
          <t xml:space="preserve">Circuit Surfers  </t>
        </is>
      </c>
      <c r="D5" t="inlineStr">
        <is>
          <t xml:space="preserve">Morgan Price  </t>
        </is>
      </c>
      <c r="E5" t="inlineStr">
        <is>
          <t xml:space="preserve">Pinecrest Middle School  </t>
        </is>
      </c>
      <c r="F5" t="inlineStr">
        <is>
          <t>D1</t>
        </is>
      </c>
      <c r="G5" t="n">
        <v>6</v>
      </c>
      <c r="H5" s="3" t="n"/>
    </row>
    <row r="6" ht="15.75" customHeight="1">
      <c r="A6" s="1" t="inlineStr">
        <is>
          <t>Rivermount_Haven</t>
        </is>
      </c>
      <c r="B6" t="n">
        <v>31515</v>
      </c>
      <c r="C6" t="inlineStr">
        <is>
          <t xml:space="preserve">Bot Brigade  </t>
        </is>
      </c>
      <c r="D6" t="inlineStr">
        <is>
          <t xml:space="preserve">Riley Carter  </t>
        </is>
      </c>
      <c r="E6" t="inlineStr">
        <is>
          <t xml:space="preserve">Oak Ridge Academy  </t>
        </is>
      </c>
      <c r="F6" t="inlineStr">
        <is>
          <t>D1</t>
        </is>
      </c>
      <c r="G6" t="n">
        <v>10</v>
      </c>
      <c r="H6" s="3" t="n"/>
    </row>
    <row r="7" ht="15.75" customHeight="1">
      <c r="A7" s="1" t="inlineStr">
        <is>
          <t>Rivermount_Haven</t>
        </is>
      </c>
      <c r="B7" t="n">
        <v>32350</v>
      </c>
      <c r="C7" t="inlineStr">
        <is>
          <t xml:space="preserve">The Debuggers  </t>
        </is>
      </c>
      <c r="D7" t="inlineStr">
        <is>
          <t xml:space="preserve">Casey Donovan  </t>
        </is>
      </c>
      <c r="E7" t="inlineStr">
        <is>
          <t xml:space="preserve">Silverbrook School  </t>
        </is>
      </c>
      <c r="F7" t="inlineStr">
        <is>
          <t>D1</t>
        </is>
      </c>
      <c r="G7" t="n">
        <v>7</v>
      </c>
      <c r="H7" s="3" t="n"/>
    </row>
    <row r="8" ht="15.75" customHeight="1">
      <c r="A8" s="1" t="inlineStr">
        <is>
          <t>Rivermount_Haven</t>
        </is>
      </c>
      <c r="B8" t="n">
        <v>39294</v>
      </c>
      <c r="C8" t="inlineStr">
        <is>
          <t xml:space="preserve">Robo Renegades  </t>
        </is>
      </c>
      <c r="D8" t="inlineStr">
        <is>
          <t xml:space="preserve">Jamie Walters  </t>
        </is>
      </c>
      <c r="E8" t="inlineStr">
        <is>
          <t xml:space="preserve">Horizon Point School  </t>
        </is>
      </c>
      <c r="F8" t="inlineStr">
        <is>
          <t>D1</t>
        </is>
      </c>
      <c r="G8" t="n">
        <v>5</v>
      </c>
      <c r="H8" s="3" t="n"/>
    </row>
    <row r="9" ht="15.75" customHeight="1">
      <c r="A9" s="1" t="inlineStr">
        <is>
          <t>Rivermount_Haven</t>
        </is>
      </c>
      <c r="B9" t="n">
        <v>51572</v>
      </c>
      <c r="C9" t="inlineStr">
        <is>
          <t xml:space="preserve">Gear Grinders  </t>
        </is>
      </c>
      <c r="D9" t="inlineStr">
        <is>
          <t xml:space="preserve">Parker Shields  </t>
        </is>
      </c>
      <c r="E9" t="inlineStr">
        <is>
          <t xml:space="preserve">Riverbend Academy  </t>
        </is>
      </c>
      <c r="F9" t="inlineStr">
        <is>
          <t>D1</t>
        </is>
      </c>
      <c r="G9" t="n">
        <v>6</v>
      </c>
      <c r="H9" s="3" t="n"/>
    </row>
    <row r="10" ht="15.75" customHeight="1">
      <c r="A10" s="1" t="inlineStr">
        <is>
          <t>Rivermount_Haven</t>
        </is>
      </c>
      <c r="B10" t="n">
        <v>53723</v>
      </c>
      <c r="C10" t="inlineStr">
        <is>
          <t xml:space="preserve">The Sprocket Rockets  </t>
        </is>
      </c>
      <c r="D10" t="inlineStr">
        <is>
          <t xml:space="preserve">Alex Monroe  </t>
        </is>
      </c>
      <c r="E10" t="inlineStr">
        <is>
          <t xml:space="preserve">Summit Ridge School  </t>
        </is>
      </c>
      <c r="F10" t="inlineStr">
        <is>
          <t>D1</t>
        </is>
      </c>
      <c r="G10" t="n">
        <v>8</v>
      </c>
      <c r="H10" s="3" t="n"/>
    </row>
    <row r="11" ht="15.75" customHeight="1">
      <c r="A11" s="1" t="inlineStr">
        <is>
          <t>Rivermount_Haven</t>
        </is>
      </c>
      <c r="B11" t="n">
        <v>53725</v>
      </c>
      <c r="C11" t="inlineStr">
        <is>
          <t xml:space="preserve">Bot‑Tastic  </t>
        </is>
      </c>
      <c r="D11" t="inlineStr">
        <is>
          <t xml:space="preserve">Sydney Barrett  </t>
        </is>
      </c>
      <c r="E11" t="inlineStr">
        <is>
          <t xml:space="preserve">Blue Harbor School  </t>
        </is>
      </c>
      <c r="F11" t="inlineStr">
        <is>
          <t>D1</t>
        </is>
      </c>
      <c r="G11" t="n">
        <v>6</v>
      </c>
      <c r="H11" s="3" t="n"/>
    </row>
    <row r="12" ht="15.75" customHeight="1">
      <c r="A12" s="1" t="inlineStr">
        <is>
          <t>Rivermount_Haven</t>
        </is>
      </c>
      <c r="B12" t="n">
        <v>60186</v>
      </c>
      <c r="C12" t="inlineStr">
        <is>
          <t xml:space="preserve">The Code Crusaders  </t>
        </is>
      </c>
      <c r="D12" t="inlineStr">
        <is>
          <t xml:space="preserve">Cameron Hayes  </t>
        </is>
      </c>
      <c r="E12" t="inlineStr">
        <is>
          <t xml:space="preserve">Crescent Valley Academy  </t>
        </is>
      </c>
      <c r="F12" t="inlineStr">
        <is>
          <t>D1</t>
        </is>
      </c>
      <c r="G12" t="n">
        <v>9</v>
      </c>
      <c r="H12" s="3" t="n"/>
    </row>
    <row r="13" ht="15.75" customHeight="1">
      <c r="A13" s="1" t="inlineStr">
        <is>
          <t>Rivermount_Haven</t>
        </is>
      </c>
      <c r="B13" t="n">
        <v>60187</v>
      </c>
      <c r="C13" t="inlineStr">
        <is>
          <t xml:space="preserve">The Mighty Mechanics  </t>
        </is>
      </c>
      <c r="D13" t="inlineStr">
        <is>
          <t xml:space="preserve">Reese Dalton  </t>
        </is>
      </c>
      <c r="E13" t="inlineStr">
        <is>
          <t xml:space="preserve">Greenfield Preparatory  </t>
        </is>
      </c>
      <c r="F13" t="inlineStr">
        <is>
          <t>D1</t>
        </is>
      </c>
      <c r="G13" t="n">
        <v>8</v>
      </c>
      <c r="H13" s="3" t="n"/>
    </row>
    <row r="14" ht="15.75" customHeight="1">
      <c r="A14" s="1" t="inlineStr">
        <is>
          <t>Rivermount_Haven</t>
        </is>
      </c>
      <c r="B14" t="n">
        <v>60188</v>
      </c>
      <c r="C14" t="inlineStr">
        <is>
          <t xml:space="preserve">Robo Rookies  </t>
        </is>
      </c>
      <c r="D14" t="inlineStr">
        <is>
          <t xml:space="preserve">Drew Porter  </t>
        </is>
      </c>
      <c r="E14" t="inlineStr">
        <is>
          <t xml:space="preserve">Lakeside Charter School  </t>
        </is>
      </c>
      <c r="F14" t="inlineStr">
        <is>
          <t>D1</t>
        </is>
      </c>
      <c r="G14" t="n">
        <v>4</v>
      </c>
      <c r="H14" s="3" t="n"/>
    </row>
    <row r="15" ht="15.75" customHeight="1">
      <c r="A15" s="1" t="inlineStr">
        <is>
          <t>Rivermount_Haven</t>
        </is>
      </c>
      <c r="B15" t="n">
        <v>60189</v>
      </c>
      <c r="C15" t="inlineStr">
        <is>
          <t xml:space="preserve">The Bolt Bandits  </t>
        </is>
      </c>
      <c r="D15" t="inlineStr">
        <is>
          <t xml:space="preserve">Kendall Brooks  </t>
        </is>
      </c>
      <c r="E15" t="inlineStr">
        <is>
          <t xml:space="preserve">Mountain Trail Academy  </t>
        </is>
      </c>
      <c r="F15" t="inlineStr">
        <is>
          <t>D1</t>
        </is>
      </c>
      <c r="G15" t="n">
        <v>9</v>
      </c>
      <c r="H15" s="3" t="n"/>
    </row>
    <row r="16" ht="15.75" customHeight="1">
      <c r="A16" s="1" t="inlineStr">
        <is>
          <t>Rivermount_Haven</t>
        </is>
      </c>
      <c r="B16" t="n">
        <v>60190</v>
      </c>
      <c r="C16" t="inlineStr">
        <is>
          <t xml:space="preserve">The Wire Wizards  </t>
        </is>
      </c>
      <c r="D16" t="inlineStr">
        <is>
          <t xml:space="preserve">Logan Tate  </t>
        </is>
      </c>
      <c r="E16" t="inlineStr">
        <is>
          <t xml:space="preserve">Willow Springs School  </t>
        </is>
      </c>
      <c r="F16" t="inlineStr">
        <is>
          <t>D1</t>
        </is>
      </c>
      <c r="G16" t="n">
        <v>6</v>
      </c>
      <c r="H16" s="3" t="n"/>
    </row>
    <row r="17" ht="15.75" customHeight="1">
      <c r="A17" s="1" t="inlineStr">
        <is>
          <t>Rivermount_Haven</t>
        </is>
      </c>
      <c r="B17" t="n">
        <v>60191</v>
      </c>
      <c r="C17" t="inlineStr">
        <is>
          <t xml:space="preserve">The Bot Bunch  </t>
        </is>
      </c>
      <c r="D17" t="inlineStr">
        <is>
          <t xml:space="preserve">Harper Flynn  </t>
        </is>
      </c>
      <c r="E17" t="inlineStr">
        <is>
          <t xml:space="preserve">Brightstone Academy  </t>
        </is>
      </c>
      <c r="F17" t="inlineStr">
        <is>
          <t>D1</t>
        </is>
      </c>
      <c r="G17" t="n">
        <v>10</v>
      </c>
      <c r="H17" s="3" t="n"/>
    </row>
    <row r="18" ht="15.75" customHeight="1">
      <c r="A18" s="1" t="inlineStr">
        <is>
          <t>Rivermount_Haven</t>
        </is>
      </c>
      <c r="B18" t="n">
        <v>22360</v>
      </c>
      <c r="C18" t="inlineStr">
        <is>
          <t xml:space="preserve">The Techno Tinkerers  </t>
        </is>
      </c>
      <c r="D18" t="inlineStr">
        <is>
          <t xml:space="preserve">Rowan Mitchell  </t>
        </is>
      </c>
      <c r="E18" t="inlineStr">
        <is>
          <t xml:space="preserve">Northgate Middle School  </t>
        </is>
      </c>
      <c r="F18" t="inlineStr">
        <is>
          <t>D2</t>
        </is>
      </c>
      <c r="G18" t="n">
        <v>8</v>
      </c>
      <c r="H18" s="3" t="n"/>
    </row>
    <row r="19" ht="15.75" customHeight="1">
      <c r="A19" s="1" t="inlineStr">
        <is>
          <t>Rivermount_Haven</t>
        </is>
      </c>
      <c r="B19" t="n">
        <v>31516</v>
      </c>
      <c r="C19" t="inlineStr">
        <is>
          <t xml:space="preserve">The Robo Rangers  </t>
        </is>
      </c>
      <c r="D19" t="inlineStr">
        <is>
          <t xml:space="preserve">Elliot Sanders  </t>
        </is>
      </c>
      <c r="E19" t="inlineStr">
        <is>
          <t xml:space="preserve">Southwind Academy  </t>
        </is>
      </c>
      <c r="F19" t="inlineStr">
        <is>
          <t>D2</t>
        </is>
      </c>
      <c r="G19" t="n">
        <v>5</v>
      </c>
      <c r="H19" s="3" t="n"/>
    </row>
    <row r="20" ht="15.75" customHeight="1">
      <c r="A20" s="1" t="inlineStr">
        <is>
          <t>Rivermount_Haven</t>
        </is>
      </c>
      <c r="B20" t="n">
        <v>31517</v>
      </c>
      <c r="C20" t="inlineStr">
        <is>
          <t xml:space="preserve">The Gearheads  </t>
        </is>
      </c>
      <c r="D20" t="inlineStr">
        <is>
          <t xml:space="preserve">Quinn Harper  </t>
        </is>
      </c>
      <c r="E20" t="inlineStr">
        <is>
          <t xml:space="preserve">Eastbrook School  </t>
        </is>
      </c>
      <c r="F20" t="inlineStr">
        <is>
          <t>D2</t>
        </is>
      </c>
      <c r="G20" t="n">
        <v>6</v>
      </c>
      <c r="H20" s="3" t="n"/>
    </row>
    <row r="21" ht="15.75" customHeight="1">
      <c r="A21" s="1" t="inlineStr">
        <is>
          <t>Rivermount_Haven</t>
        </is>
      </c>
      <c r="B21" t="n">
        <v>33551</v>
      </c>
      <c r="C21" t="inlineStr">
        <is>
          <t xml:space="preserve">The Circuit Squad  </t>
        </is>
      </c>
      <c r="D21" t="inlineStr">
        <is>
          <t xml:space="preserve">Aiden Clarke  </t>
        </is>
      </c>
      <c r="E21" t="inlineStr">
        <is>
          <t xml:space="preserve">Westlake Preparatory  </t>
        </is>
      </c>
      <c r="F21" t="inlineStr">
        <is>
          <t>D2</t>
        </is>
      </c>
      <c r="G21" t="n">
        <v>6</v>
      </c>
      <c r="H21" s="3" t="n"/>
    </row>
    <row r="22" ht="15.75" customHeight="1">
      <c r="A22" s="1" t="inlineStr">
        <is>
          <t>Rivermount_Haven</t>
        </is>
      </c>
      <c r="B22" t="n">
        <v>33645</v>
      </c>
      <c r="C22" t="inlineStr">
        <is>
          <t xml:space="preserve">The Bot Builders  </t>
        </is>
      </c>
      <c r="D22" t="inlineStr">
        <is>
          <t xml:space="preserve">Mason Everett  </t>
        </is>
      </c>
      <c r="E22" t="inlineStr">
        <is>
          <t xml:space="preserve">Harborview Academy  </t>
        </is>
      </c>
      <c r="F22" t="inlineStr">
        <is>
          <t>D2</t>
        </is>
      </c>
      <c r="G22" t="n">
        <v>10</v>
      </c>
      <c r="H22" s="3" t="n"/>
    </row>
    <row r="23" ht="15.75" customHeight="1">
      <c r="A23" s="1" t="inlineStr">
        <is>
          <t>Rivermount_Haven</t>
        </is>
      </c>
      <c r="B23" t="n">
        <v>34493</v>
      </c>
      <c r="C23" t="inlineStr">
        <is>
          <t xml:space="preserve">The Mech Masters  </t>
        </is>
      </c>
      <c r="D23" t="inlineStr">
        <is>
          <t xml:space="preserve">Liam Porter  </t>
        </is>
      </c>
      <c r="E23" t="inlineStr">
        <is>
          <t xml:space="preserve">Redwood Hills School  </t>
        </is>
      </c>
      <c r="F23" t="inlineStr">
        <is>
          <t>D2</t>
        </is>
      </c>
      <c r="G23" t="n">
        <v>6</v>
      </c>
      <c r="H23" s="3" t="n"/>
    </row>
    <row r="24" ht="15.75" customHeight="1">
      <c r="A24" s="1" t="inlineStr">
        <is>
          <t>Rivermount_Haven</t>
        </is>
      </c>
      <c r="B24" t="n">
        <v>45642</v>
      </c>
      <c r="C24" t="inlineStr">
        <is>
          <t xml:space="preserve">The Byte Bots  </t>
        </is>
      </c>
      <c r="D24" t="inlineStr">
        <is>
          <t xml:space="preserve">Noah Briggs  </t>
        </is>
      </c>
      <c r="E24" t="inlineStr">
        <is>
          <t xml:space="preserve">Golden Meadow School  </t>
        </is>
      </c>
      <c r="F24" t="inlineStr">
        <is>
          <t>D2</t>
        </is>
      </c>
      <c r="G24" t="n">
        <v>10</v>
      </c>
      <c r="H24" s="3" t="n"/>
    </row>
    <row r="25" ht="15.75" customHeight="1">
      <c r="A25" s="1" t="inlineStr">
        <is>
          <t>Rivermount_Haven</t>
        </is>
      </c>
      <c r="B25" t="n">
        <v>50371</v>
      </c>
      <c r="C25" t="inlineStr">
        <is>
          <t xml:space="preserve">The Robo Rebels  </t>
        </is>
      </c>
      <c r="D25" t="inlineStr">
        <is>
          <t xml:space="preserve">Ethan Sawyer  </t>
        </is>
      </c>
      <c r="E25" t="inlineStr">
        <is>
          <t xml:space="preserve">Prairie Ridge Academy  </t>
        </is>
      </c>
      <c r="F25" t="inlineStr">
        <is>
          <t>D2</t>
        </is>
      </c>
      <c r="G25" t="n">
        <v>4</v>
      </c>
      <c r="H25" s="3" t="n"/>
    </row>
    <row r="26" ht="15.75" customHeight="1">
      <c r="A26" s="1" t="inlineStr">
        <is>
          <t>Rivermount_Haven</t>
        </is>
      </c>
      <c r="B26" t="n">
        <v>50372</v>
      </c>
      <c r="C26" t="inlineStr">
        <is>
          <t xml:space="preserve">The Tech Titans  </t>
        </is>
      </c>
      <c r="D26" t="inlineStr">
        <is>
          <t xml:space="preserve">Caleb Harmon  </t>
        </is>
      </c>
      <c r="E26" t="inlineStr">
        <is>
          <t xml:space="preserve">Timberline School  </t>
        </is>
      </c>
      <c r="F26" t="inlineStr">
        <is>
          <t>D2</t>
        </is>
      </c>
      <c r="G26" t="n">
        <v>10</v>
      </c>
      <c r="H26" s="3" t="n"/>
    </row>
    <row r="27" ht="15.75" customHeight="1">
      <c r="A27" s="1" t="inlineStr">
        <is>
          <t>Rivermount_Haven</t>
        </is>
      </c>
      <c r="B27" t="n">
        <v>61268</v>
      </c>
      <c r="C27" t="inlineStr">
        <is>
          <t xml:space="preserve">The Bot Battalion  </t>
        </is>
      </c>
      <c r="D27" t="inlineStr">
        <is>
          <t xml:space="preserve">Owen Foster  </t>
        </is>
      </c>
      <c r="E27" t="inlineStr">
        <is>
          <t xml:space="preserve">Brookside Preparatory  </t>
        </is>
      </c>
      <c r="F27" t="inlineStr">
        <is>
          <t>D2</t>
        </is>
      </c>
      <c r="G27" t="n">
        <v>8</v>
      </c>
      <c r="H27" s="3" t="n"/>
    </row>
    <row r="28" ht="15.75" customHeight="1">
      <c r="A28" s="1" t="inlineStr">
        <is>
          <t>Rivermount_Haven</t>
        </is>
      </c>
      <c r="B28" t="n">
        <v>67223</v>
      </c>
      <c r="C28" t="inlineStr">
        <is>
          <t xml:space="preserve">The Spark Plugs  </t>
        </is>
      </c>
      <c r="D28" t="inlineStr">
        <is>
          <t xml:space="preserve">Henry Dalton  </t>
        </is>
      </c>
      <c r="E28" t="inlineStr">
        <is>
          <t xml:space="preserve">Clearwater Academy  </t>
        </is>
      </c>
      <c r="F28" t="inlineStr">
        <is>
          <t>D2</t>
        </is>
      </c>
      <c r="G28" t="n">
        <v>7</v>
      </c>
      <c r="H28" s="3" t="n"/>
    </row>
    <row r="29" ht="15.75" customHeight="1">
      <c r="A29" s="1" t="inlineStr">
        <is>
          <t>Solara_Crest</t>
        </is>
      </c>
      <c r="B29" t="n">
        <v>20349</v>
      </c>
      <c r="C29" t="inlineStr">
        <is>
          <t xml:space="preserve">The Robo Rockers  </t>
        </is>
      </c>
      <c r="D29" t="inlineStr">
        <is>
          <t xml:space="preserve">Jack Mercer  </t>
        </is>
      </c>
      <c r="E29" t="inlineStr">
        <is>
          <t xml:space="preserve">Evergreen Middle School  </t>
        </is>
      </c>
      <c r="F29" t="inlineStr">
        <is>
          <t>D1</t>
        </is>
      </c>
      <c r="G29" t="n">
        <v>8</v>
      </c>
      <c r="H29" s="3" t="n"/>
    </row>
    <row r="30" ht="15.75" customHeight="1">
      <c r="A30" s="1" t="inlineStr">
        <is>
          <t>Solara_Crest</t>
        </is>
      </c>
      <c r="B30" t="n">
        <v>20507</v>
      </c>
      <c r="C30" t="inlineStr">
        <is>
          <t xml:space="preserve">The Code Commanders  </t>
        </is>
      </c>
      <c r="D30" t="inlineStr">
        <is>
          <t xml:space="preserve">Wyatt Collins  </t>
        </is>
      </c>
      <c r="E30" t="inlineStr">
        <is>
          <t xml:space="preserve">Highland Crest School  </t>
        </is>
      </c>
      <c r="F30" t="inlineStr">
        <is>
          <t>D1</t>
        </is>
      </c>
      <c r="G30" t="n">
        <v>6</v>
      </c>
      <c r="H30" s="3" t="n"/>
    </row>
    <row r="31" ht="15.75" customHeight="1">
      <c r="A31" s="1" t="inlineStr">
        <is>
          <t>Solara_Crest</t>
        </is>
      </c>
      <c r="B31" t="n">
        <v>49078</v>
      </c>
      <c r="C31" t="inlineStr">
        <is>
          <t xml:space="preserve">The Mech Mavericks  </t>
        </is>
      </c>
      <c r="D31" t="inlineStr">
        <is>
          <t xml:space="preserve">Leo Turner  </t>
        </is>
      </c>
      <c r="E31" t="inlineStr">
        <is>
          <t xml:space="preserve">Valley Forge Academy  </t>
        </is>
      </c>
      <c r="F31" t="inlineStr">
        <is>
          <t>D1</t>
        </is>
      </c>
      <c r="G31" t="n">
        <v>8</v>
      </c>
      <c r="H31" s="3" t="n"/>
    </row>
    <row r="32" ht="15.75" customHeight="1">
      <c r="A32" s="1" t="inlineStr">
        <is>
          <t>Solara_Crest</t>
        </is>
      </c>
      <c r="B32" t="n">
        <v>51919</v>
      </c>
      <c r="C32" t="inlineStr">
        <is>
          <t xml:space="preserve">The Bot Blasters  </t>
        </is>
      </c>
      <c r="D32" t="inlineStr">
        <is>
          <t xml:space="preserve">Isaac Chandler  </t>
        </is>
      </c>
      <c r="E32" t="inlineStr">
        <is>
          <t xml:space="preserve">Sunrise Ridge School  </t>
        </is>
      </c>
      <c r="F32" t="inlineStr">
        <is>
          <t>D1</t>
        </is>
      </c>
      <c r="G32" t="n">
        <v>4</v>
      </c>
      <c r="H32" s="3" t="n"/>
    </row>
    <row r="33" ht="15.75" customHeight="1">
      <c r="A33" s="1" t="inlineStr">
        <is>
          <t>Solara_Crest</t>
        </is>
      </c>
      <c r="B33" t="n">
        <v>57876</v>
      </c>
      <c r="C33" t="inlineStr">
        <is>
          <t xml:space="preserve">The Circuit Cyclones  </t>
        </is>
      </c>
      <c r="D33" t="inlineStr">
        <is>
          <t xml:space="preserve">Miles Barrett  </t>
        </is>
      </c>
      <c r="E33" t="inlineStr">
        <is>
          <t xml:space="preserve">Canyon Creek Academy  </t>
        </is>
      </c>
      <c r="F33" t="inlineStr">
        <is>
          <t>D1</t>
        </is>
      </c>
      <c r="G33" t="n">
        <v>10</v>
      </c>
      <c r="H33" s="3" t="n"/>
    </row>
    <row r="34" ht="15.75" customHeight="1">
      <c r="A34" s="1" t="inlineStr">
        <is>
          <t>Solara_Crest</t>
        </is>
      </c>
      <c r="B34" t="n">
        <v>63696</v>
      </c>
      <c r="C34" t="inlineStr">
        <is>
          <t xml:space="preserve">The Gear Geniuses  </t>
        </is>
      </c>
      <c r="D34" t="inlineStr">
        <is>
          <t xml:space="preserve">Gavin Rhodes  </t>
        </is>
      </c>
      <c r="E34" t="inlineStr">
        <is>
          <t xml:space="preserve">Forest Glen School  </t>
        </is>
      </c>
      <c r="F34" t="inlineStr">
        <is>
          <t>D1</t>
        </is>
      </c>
      <c r="G34" t="n">
        <v>6</v>
      </c>
      <c r="H34" s="3" t="n"/>
    </row>
    <row r="35" ht="15.75" customHeight="1">
      <c r="A35" s="1" t="inlineStr">
        <is>
          <t>Solara_Crest</t>
        </is>
      </c>
      <c r="B35" t="n">
        <v>73113</v>
      </c>
      <c r="C35" t="inlineStr">
        <is>
          <t xml:space="preserve">The Robo Revolution  </t>
        </is>
      </c>
      <c r="D35" t="inlineStr">
        <is>
          <t xml:space="preserve">Nolan Pierce  </t>
        </is>
      </c>
      <c r="E35" t="inlineStr">
        <is>
          <t xml:space="preserve">Silverleaf Preparatory  </t>
        </is>
      </c>
      <c r="F35" t="inlineStr">
        <is>
          <t>D1</t>
        </is>
      </c>
      <c r="G35" t="n">
        <v>5</v>
      </c>
      <c r="H35" s="3" t="n"/>
    </row>
    <row r="36" ht="15.75" customHeight="1">
      <c r="A36" s="1" t="inlineStr">
        <is>
          <t>Solara_Crest</t>
        </is>
      </c>
      <c r="B36" t="n">
        <v>46454</v>
      </c>
      <c r="C36" t="inlineStr">
        <is>
          <t xml:space="preserve">The Tech Tornadoes  </t>
        </is>
      </c>
      <c r="D36" t="inlineStr">
        <is>
          <t xml:space="preserve">Colin Baxter  </t>
        </is>
      </c>
      <c r="E36" t="inlineStr">
        <is>
          <t xml:space="preserve">Twin Rivers Academy  </t>
        </is>
      </c>
      <c r="F36" t="inlineStr">
        <is>
          <t>D2</t>
        </is>
      </c>
      <c r="G36" t="n">
        <v>2</v>
      </c>
      <c r="H36" s="3" t="n"/>
    </row>
    <row r="37" ht="15.75" customHeight="1">
      <c r="A37" s="1" t="inlineStr">
        <is>
          <t>Solara_Crest</t>
        </is>
      </c>
      <c r="B37" t="n">
        <v>58900</v>
      </c>
      <c r="C37" t="inlineStr">
        <is>
          <t xml:space="preserve">The Bot Breakers  </t>
        </is>
      </c>
      <c r="D37" t="inlineStr">
        <is>
          <t xml:space="preserve">Evan Maddox  </t>
        </is>
      </c>
      <c r="E37" t="inlineStr">
        <is>
          <t xml:space="preserve">Meadowbrook School  </t>
        </is>
      </c>
      <c r="F37" t="inlineStr">
        <is>
          <t>D2</t>
        </is>
      </c>
      <c r="G37" t="n">
        <v>7</v>
      </c>
      <c r="H37" s="3" t="n"/>
    </row>
    <row r="38" ht="15.75" customHeight="1">
      <c r="A38" s="1" t="inlineStr">
        <is>
          <t>Solara_Crest</t>
        </is>
      </c>
      <c r="B38" t="n">
        <v>65163</v>
      </c>
      <c r="C38" t="inlineStr">
        <is>
          <t xml:space="preserve">The Mech Minions  </t>
        </is>
      </c>
      <c r="D38" t="inlineStr">
        <is>
          <t xml:space="preserve">Asher Doyle  </t>
        </is>
      </c>
      <c r="E38" t="inlineStr">
        <is>
          <t xml:space="preserve">Skyline Charter School  </t>
        </is>
      </c>
      <c r="F38" t="inlineStr">
        <is>
          <t>D2</t>
        </is>
      </c>
      <c r="G38" t="n">
        <v>7</v>
      </c>
      <c r="H38" s="3" t="n"/>
    </row>
    <row r="39" ht="15.75" customHeight="1">
      <c r="A39" s="1" t="inlineStr">
        <is>
          <t>Solara_Crest</t>
        </is>
      </c>
      <c r="B39" t="n">
        <v>70825</v>
      </c>
      <c r="C39" t="inlineStr">
        <is>
          <t xml:space="preserve">The Circuit Seekers  </t>
        </is>
      </c>
      <c r="D39" t="inlineStr">
        <is>
          <t xml:space="preserve">Silas Kent  </t>
        </is>
      </c>
      <c r="E39" t="inlineStr">
        <is>
          <t xml:space="preserve">Liberty Point Academy  </t>
        </is>
      </c>
      <c r="F39" t="inlineStr">
        <is>
          <t>D2</t>
        </is>
      </c>
      <c r="G39" t="n">
        <v>5</v>
      </c>
      <c r="H39" s="3" t="n"/>
    </row>
    <row r="40" ht="15.75" customHeight="1">
      <c r="A40" s="1" t="inlineStr">
        <is>
          <t>Solara_Crest</t>
        </is>
      </c>
      <c r="B40" t="n">
        <v>70826</v>
      </c>
      <c r="C40" t="inlineStr">
        <is>
          <t xml:space="preserve">The Gear Gang  </t>
        </is>
      </c>
      <c r="D40" t="inlineStr">
        <is>
          <t xml:space="preserve">Jasper Rowe  </t>
        </is>
      </c>
      <c r="E40" t="inlineStr">
        <is>
          <t xml:space="preserve">Heritage Grove School  </t>
        </is>
      </c>
      <c r="F40" t="inlineStr">
        <is>
          <t>D2</t>
        </is>
      </c>
      <c r="G40" t="n">
        <v>3</v>
      </c>
      <c r="H40" s="3" t="n"/>
    </row>
    <row r="41" ht="15.75" customHeight="1">
      <c r="A41" s="1" t="inlineStr">
        <is>
          <t>Solara_Crest</t>
        </is>
      </c>
      <c r="B41" t="n">
        <v>71791</v>
      </c>
      <c r="C41" t="inlineStr">
        <is>
          <t xml:space="preserve">The Robo Riders  </t>
        </is>
      </c>
      <c r="D41" t="inlineStr">
        <is>
          <t xml:space="preserve">Finn Walters  </t>
        </is>
      </c>
      <c r="E41" t="inlineStr">
        <is>
          <t xml:space="preserve">Pioneer Ridge Academy  </t>
        </is>
      </c>
      <c r="F41" t="inlineStr">
        <is>
          <t>D2</t>
        </is>
      </c>
      <c r="G41" t="n">
        <v>7</v>
      </c>
      <c r="H41" s="3" t="n"/>
    </row>
    <row r="42" ht="15.75" customHeight="1">
      <c r="A42" s="1" t="inlineStr">
        <is>
          <t>Solara_Crest</t>
        </is>
      </c>
      <c r="B42" t="n">
        <v>71956</v>
      </c>
      <c r="C42" t="inlineStr">
        <is>
          <t xml:space="preserve">The Code Crushers  </t>
        </is>
      </c>
      <c r="D42" t="inlineStr">
        <is>
          <t xml:space="preserve">Oliver Pratt  </t>
        </is>
      </c>
      <c r="E42" t="inlineStr">
        <is>
          <t xml:space="preserve">Aspen Hill School  </t>
        </is>
      </c>
      <c r="F42" t="inlineStr">
        <is>
          <t>D2</t>
        </is>
      </c>
      <c r="G42" t="n">
        <v>2</v>
      </c>
      <c r="H42" s="3" t="n"/>
    </row>
    <row r="43" ht="15.75" customHeight="1">
      <c r="A43" s="1" t="inlineStr">
        <is>
          <t>Solara_Crest</t>
        </is>
      </c>
      <c r="B43" t="n">
        <v>72049</v>
      </c>
      <c r="C43" t="inlineStr">
        <is>
          <t xml:space="preserve">The Bot Boosters  </t>
        </is>
      </c>
      <c r="D43" t="inlineStr">
        <is>
          <t xml:space="preserve">Lucas Harlan  </t>
        </is>
      </c>
      <c r="E43" t="inlineStr">
        <is>
          <t xml:space="preserve">Cedar Ridge Preparatory  </t>
        </is>
      </c>
      <c r="F43" t="inlineStr">
        <is>
          <t>D2</t>
        </is>
      </c>
      <c r="G43" t="n">
        <v>6</v>
      </c>
      <c r="H43" s="3" t="n"/>
    </row>
    <row r="44" ht="15.75" customHeight="1">
      <c r="A44" s="1" t="inlineStr">
        <is>
          <t>Solara_Crest</t>
        </is>
      </c>
      <c r="B44" t="n">
        <v>72103</v>
      </c>
      <c r="C44" t="inlineStr">
        <is>
          <t xml:space="preserve">The Mech Magicians  </t>
        </is>
      </c>
      <c r="D44" t="inlineStr">
        <is>
          <t xml:space="preserve">Theo Briggs  </t>
        </is>
      </c>
      <c r="E44" t="inlineStr">
        <is>
          <t xml:space="preserve">Maplewood Academy  </t>
        </is>
      </c>
      <c r="F44" t="inlineStr">
        <is>
          <t>D2</t>
        </is>
      </c>
      <c r="G44" t="n">
        <v>4</v>
      </c>
      <c r="H44" s="3" t="n"/>
    </row>
    <row r="45" ht="15.75" customHeight="1">
      <c r="A45" s="1" t="inlineStr">
        <is>
          <t>Solara_Crest</t>
        </is>
      </c>
      <c r="B45" t="n">
        <v>73394</v>
      </c>
      <c r="C45" t="inlineStr">
        <is>
          <t xml:space="preserve">The Circuit Chasers  </t>
        </is>
      </c>
      <c r="D45" t="inlineStr">
        <is>
          <t xml:space="preserve">Julian Mercer  </t>
        </is>
      </c>
      <c r="E45" t="inlineStr">
        <is>
          <t xml:space="preserve">Riverstone School  </t>
        </is>
      </c>
      <c r="F45" t="inlineStr">
        <is>
          <t>D2</t>
        </is>
      </c>
      <c r="G45" t="n">
        <v>6</v>
      </c>
      <c r="H45" s="3" t="n"/>
    </row>
    <row r="46" ht="15.75" customHeight="1">
      <c r="A46" s="1" t="inlineStr">
        <is>
          <t>Brindlewick</t>
        </is>
      </c>
      <c r="B46" t="n">
        <v>7353</v>
      </c>
      <c r="C46" t="inlineStr">
        <is>
          <t xml:space="preserve">The Gear Guardians  </t>
        </is>
      </c>
      <c r="D46" t="inlineStr">
        <is>
          <t xml:space="preserve">Roman Tate  </t>
        </is>
      </c>
      <c r="E46" t="inlineStr">
        <is>
          <t xml:space="preserve">Brightwater Middle School  </t>
        </is>
      </c>
      <c r="F46" t="inlineStr">
        <is>
          <t>D1</t>
        </is>
      </c>
      <c r="G46" t="n">
        <v>10</v>
      </c>
      <c r="H46" s="3" t="n"/>
    </row>
    <row r="47" ht="15.75" customHeight="1">
      <c r="A47" s="1" t="inlineStr">
        <is>
          <t>Brindlewick</t>
        </is>
      </c>
      <c r="B47" t="n">
        <v>64664</v>
      </c>
      <c r="C47" t="inlineStr">
        <is>
          <t xml:space="preserve">The Robo Rockets  </t>
        </is>
      </c>
      <c r="D47" t="inlineStr">
        <is>
          <t xml:space="preserve">Beckett Shaw  </t>
        </is>
      </c>
      <c r="E47" t="inlineStr">
        <is>
          <t xml:space="preserve">Northshore Academy  </t>
        </is>
      </c>
      <c r="F47" t="inlineStr">
        <is>
          <t>D1</t>
        </is>
      </c>
      <c r="G47" t="n">
        <v>6</v>
      </c>
      <c r="H47" s="3" t="n"/>
    </row>
    <row r="48" ht="15.75" customHeight="1">
      <c r="A48" s="1" t="inlineStr">
        <is>
          <t>Brindlewick</t>
        </is>
      </c>
      <c r="B48" t="n">
        <v>64665</v>
      </c>
      <c r="C48" t="inlineStr">
        <is>
          <t xml:space="preserve">The Tech Tinkerers  </t>
        </is>
      </c>
      <c r="D48" t="inlineStr">
        <is>
          <t xml:space="preserve">Hudson Blake  </t>
        </is>
      </c>
      <c r="E48" t="inlineStr">
        <is>
          <t xml:space="preserve">Southcrest School  </t>
        </is>
      </c>
      <c r="F48" t="inlineStr">
        <is>
          <t>D1</t>
        </is>
      </c>
      <c r="G48" t="n">
        <v>5</v>
      </c>
      <c r="H48" s="3" t="n"/>
    </row>
    <row r="49" ht="15.75" customHeight="1">
      <c r="A49" s="1" t="inlineStr">
        <is>
          <t>Brindlewick</t>
        </is>
      </c>
      <c r="B49" t="n">
        <v>66718</v>
      </c>
      <c r="C49" t="inlineStr">
        <is>
          <t xml:space="preserve">The Bot Bots  </t>
        </is>
      </c>
      <c r="D49" t="inlineStr">
        <is>
          <t xml:space="preserve">Easton Carter  </t>
        </is>
      </c>
      <c r="E49" t="inlineStr">
        <is>
          <t xml:space="preserve">Eastview Preparatory  </t>
        </is>
      </c>
      <c r="F49" t="inlineStr">
        <is>
          <t>D1</t>
        </is>
      </c>
      <c r="G49" t="n">
        <v>6</v>
      </c>
      <c r="H49" s="3" t="n"/>
    </row>
    <row r="50" ht="15.75" customHeight="1">
      <c r="A50" s="1" t="inlineStr">
        <is>
          <t>Brindlewick</t>
        </is>
      </c>
      <c r="B50" t="n">
        <v>67426</v>
      </c>
      <c r="C50" t="inlineStr">
        <is>
          <t xml:space="preserve">The Mech Mechanics  </t>
        </is>
      </c>
      <c r="D50" t="inlineStr">
        <is>
          <t xml:space="preserve">Declan Hayes  </t>
        </is>
      </c>
      <c r="E50" t="inlineStr">
        <is>
          <t xml:space="preserve">Westbrook Academy  </t>
        </is>
      </c>
      <c r="F50" t="inlineStr">
        <is>
          <t>D1</t>
        </is>
      </c>
      <c r="G50" t="n">
        <v>6</v>
      </c>
      <c r="H50" s="3" t="n"/>
    </row>
    <row r="51" ht="15.75" customHeight="1">
      <c r="A51" s="1" t="inlineStr">
        <is>
          <t>Brindlewick</t>
        </is>
      </c>
      <c r="B51" t="n">
        <v>70859</v>
      </c>
      <c r="C51" t="inlineStr">
        <is>
          <t xml:space="preserve">The Circuit Commanders  </t>
        </is>
      </c>
      <c r="D51" t="inlineStr">
        <is>
          <t xml:space="preserve">Grayson Abbott  </t>
        </is>
      </c>
      <c r="E51" t="inlineStr">
        <is>
          <t xml:space="preserve">Hilltop Charter School  </t>
        </is>
      </c>
      <c r="F51" t="inlineStr">
        <is>
          <t>D1</t>
        </is>
      </c>
      <c r="G51" t="n">
        <v>6</v>
      </c>
      <c r="H51" s="3" t="n"/>
    </row>
    <row r="52" ht="15.75" customHeight="1">
      <c r="A52" s="1" t="inlineStr">
        <is>
          <t>Brindlewick</t>
        </is>
      </c>
      <c r="B52" t="n">
        <v>71355</v>
      </c>
      <c r="C52" t="inlineStr">
        <is>
          <t xml:space="preserve">The Gear Gliders  </t>
        </is>
      </c>
      <c r="D52" t="inlineStr">
        <is>
          <t xml:space="preserve">Sawyer Flynn  </t>
        </is>
      </c>
      <c r="E52" t="inlineStr">
        <is>
          <t xml:space="preserve">Lighthouse Ridge School  </t>
        </is>
      </c>
      <c r="F52" t="inlineStr">
        <is>
          <t>D1</t>
        </is>
      </c>
      <c r="G52" t="n">
        <v>6</v>
      </c>
      <c r="H52" s="3" t="n"/>
    </row>
    <row r="53" ht="15.75" customHeight="1">
      <c r="A53" s="1" t="inlineStr">
        <is>
          <t>Brindlewick</t>
        </is>
      </c>
      <c r="B53" t="n">
        <v>71574</v>
      </c>
      <c r="C53" t="inlineStr">
        <is>
          <t xml:space="preserve">The Robo Rookies  </t>
        </is>
      </c>
      <c r="D53" t="inlineStr">
        <is>
          <t xml:space="preserve">Emmett Rhodes  </t>
        </is>
      </c>
      <c r="E53" t="inlineStr">
        <is>
          <t xml:space="preserve">Green Meadows Academy  </t>
        </is>
      </c>
      <c r="F53" t="inlineStr">
        <is>
          <t>D1</t>
        </is>
      </c>
      <c r="G53" t="n">
        <v>6</v>
      </c>
      <c r="H53" s="3" t="n"/>
    </row>
    <row r="54" ht="15.75" customHeight="1">
      <c r="A54" s="1" t="inlineStr">
        <is>
          <t>Brindlewick</t>
        </is>
      </c>
      <c r="B54" t="n">
        <v>72004</v>
      </c>
      <c r="C54" t="inlineStr">
        <is>
          <t xml:space="preserve">The Techno Tribe  </t>
        </is>
      </c>
      <c r="D54" t="inlineStr">
        <is>
          <t xml:space="preserve">Wesley Porter  </t>
        </is>
      </c>
      <c r="E54" t="inlineStr">
        <is>
          <t xml:space="preserve">Lakewood Preparatory  </t>
        </is>
      </c>
      <c r="F54" t="inlineStr">
        <is>
          <t>D1</t>
        </is>
      </c>
      <c r="G54" t="n">
        <v>5</v>
      </c>
      <c r="H54" s="3" t="n"/>
    </row>
    <row r="55" ht="15.75" customHeight="1">
      <c r="A55" s="1" t="inlineStr">
        <is>
          <t>Brindlewick</t>
        </is>
      </c>
      <c r="B55" t="n">
        <v>72016</v>
      </c>
      <c r="C55" t="inlineStr">
        <is>
          <t xml:space="preserve">The Bot Boomers  </t>
        </is>
      </c>
      <c r="D55" t="inlineStr">
        <is>
          <t xml:space="preserve">Harrison Clarke  </t>
        </is>
      </c>
      <c r="E55" t="inlineStr">
        <is>
          <t xml:space="preserve">Mountain Crest School  </t>
        </is>
      </c>
      <c r="F55" t="inlineStr">
        <is>
          <t>D1</t>
        </is>
      </c>
      <c r="G55" t="n">
        <v>6</v>
      </c>
      <c r="H55" s="3" t="n"/>
    </row>
    <row r="56" ht="15.75" customHeight="1">
      <c r="A56" s="1" t="inlineStr">
        <is>
          <t>Brindlewick</t>
        </is>
      </c>
      <c r="B56" t="n">
        <v>72208</v>
      </c>
      <c r="C56" t="inlineStr">
        <is>
          <t xml:space="preserve">The Mech Monsters  </t>
        </is>
      </c>
      <c r="D56" t="inlineStr">
        <is>
          <t xml:space="preserve">Bennett Harmon  </t>
        </is>
      </c>
      <c r="E56" t="inlineStr">
        <is>
          <t xml:space="preserve">Willow Creek Academy  </t>
        </is>
      </c>
      <c r="F56" t="inlineStr">
        <is>
          <t>D1</t>
        </is>
      </c>
      <c r="G56" t="n">
        <v>5</v>
      </c>
      <c r="H56" s="3" t="n"/>
    </row>
    <row r="57" ht="15.75" customHeight="1">
      <c r="A57" s="1" t="inlineStr">
        <is>
          <t>Brindlewick</t>
        </is>
      </c>
      <c r="B57" t="n">
        <v>72326</v>
      </c>
      <c r="C57" t="inlineStr">
        <is>
          <t xml:space="preserve">The Circuit Cyclers  </t>
        </is>
      </c>
      <c r="D57" t="inlineStr">
        <is>
          <t xml:space="preserve">Spencer Dalton  </t>
        </is>
      </c>
      <c r="E57" t="inlineStr">
        <is>
          <t xml:space="preserve">Brookfield Middle School  </t>
        </is>
      </c>
      <c r="F57" t="inlineStr">
        <is>
          <t>D1</t>
        </is>
      </c>
      <c r="G57" t="n">
        <v>8</v>
      </c>
      <c r="H57" s="3" t="n"/>
    </row>
    <row r="58" ht="15.75" customHeight="1">
      <c r="A58" s="1" t="inlineStr">
        <is>
          <t>Brindlewick</t>
        </is>
      </c>
      <c r="B58" t="n">
        <v>61772</v>
      </c>
      <c r="C58" t="inlineStr">
        <is>
          <t xml:space="preserve">The Gear Gamers  </t>
        </is>
      </c>
      <c r="D58" t="inlineStr">
        <is>
          <t xml:space="preserve">Tucker Everett  </t>
        </is>
      </c>
      <c r="E58" t="inlineStr">
        <is>
          <t xml:space="preserve">Clearview Academy  </t>
        </is>
      </c>
      <c r="F58" t="inlineStr">
        <is>
          <t>D2</t>
        </is>
      </c>
      <c r="G58" t="n">
        <v>5</v>
      </c>
      <c r="H58" s="3" t="n"/>
    </row>
    <row r="59" ht="15.75" customHeight="1">
      <c r="A59" s="1" t="inlineStr">
        <is>
          <t>Brindlewick</t>
        </is>
      </c>
      <c r="B59" t="n">
        <v>65761</v>
      </c>
      <c r="C59" t="inlineStr">
        <is>
          <t xml:space="preserve">The Robo Riddlers  </t>
        </is>
      </c>
      <c r="D59" t="inlineStr">
        <is>
          <t xml:space="preserve">Brooks Chandler  </t>
        </is>
      </c>
      <c r="E59" t="inlineStr">
        <is>
          <t xml:space="preserve">Evergreen Ridge School  </t>
        </is>
      </c>
      <c r="F59" t="inlineStr">
        <is>
          <t>D2</t>
        </is>
      </c>
      <c r="G59" t="n">
        <v>6</v>
      </c>
      <c r="H59" s="3" t="n"/>
    </row>
    <row r="60" ht="15.75" customHeight="1">
      <c r="A60" s="1" t="inlineStr">
        <is>
          <t>Brindlewick</t>
        </is>
      </c>
      <c r="B60" t="n">
        <v>66181</v>
      </c>
      <c r="C60" t="inlineStr">
        <is>
          <t xml:space="preserve">The Techno Troopers  </t>
        </is>
      </c>
      <c r="D60" t="inlineStr">
        <is>
          <t xml:space="preserve">Callum Pierce  </t>
        </is>
      </c>
      <c r="E60" t="inlineStr">
        <is>
          <t xml:space="preserve">Highland Springs Academy  </t>
        </is>
      </c>
      <c r="F60" t="inlineStr">
        <is>
          <t>D2</t>
        </is>
      </c>
      <c r="G60" t="n">
        <v>8</v>
      </c>
      <c r="H60" s="3" t="n"/>
    </row>
    <row r="61" ht="15.75" customHeight="1">
      <c r="A61" s="1" t="inlineStr">
        <is>
          <t>Brindlewick</t>
        </is>
      </c>
      <c r="B61" t="n">
        <v>66485</v>
      </c>
      <c r="C61" t="inlineStr">
        <is>
          <t xml:space="preserve">The Bot Blizzards  </t>
        </is>
      </c>
      <c r="D61" t="inlineStr">
        <is>
          <t xml:space="preserve">Archer Maddox  </t>
        </is>
      </c>
      <c r="E61" t="inlineStr">
        <is>
          <t xml:space="preserve">Valley View Preparatory  </t>
        </is>
      </c>
      <c r="F61" t="inlineStr">
        <is>
          <t>D2</t>
        </is>
      </c>
      <c r="G61" t="n">
        <v>6</v>
      </c>
      <c r="H61" s="3" t="n"/>
    </row>
    <row r="62" ht="15.75" customHeight="1">
      <c r="A62" s="1" t="inlineStr">
        <is>
          <t>Brindlewick</t>
        </is>
      </c>
      <c r="B62" t="n">
        <v>67976</v>
      </c>
      <c r="C62" t="inlineStr">
        <is>
          <t xml:space="preserve">Brick Brawlers  </t>
        </is>
      </c>
      <c r="D62" t="inlineStr">
        <is>
          <t xml:space="preserve">Reid Foster  </t>
        </is>
      </c>
      <c r="E62" t="inlineStr">
        <is>
          <t xml:space="preserve">Sunset Ridge School  </t>
        </is>
      </c>
      <c r="F62" t="inlineStr">
        <is>
          <t>D2</t>
        </is>
      </c>
      <c r="G62" t="n">
        <v>5</v>
      </c>
      <c r="H62" s="3" t="n"/>
    </row>
    <row r="63" ht="15.75" customHeight="1">
      <c r="A63" s="1" t="inlineStr">
        <is>
          <t>Brindlewick</t>
        </is>
      </c>
      <c r="B63" t="n">
        <v>71168</v>
      </c>
      <c r="C63" t="inlineStr">
        <is>
          <t xml:space="preserve">Brick Bots  </t>
        </is>
      </c>
      <c r="D63" t="inlineStr">
        <is>
          <t xml:space="preserve">Sullivan Kent  </t>
        </is>
      </c>
      <c r="E63" t="inlineStr">
        <is>
          <t xml:space="preserve">Canyon Ridge Academy  </t>
        </is>
      </c>
      <c r="F63" t="inlineStr">
        <is>
          <t>D2</t>
        </is>
      </c>
      <c r="G63" t="n">
        <v>8</v>
      </c>
      <c r="H63" s="3" t="n"/>
    </row>
    <row r="64" ht="15.75" customHeight="1">
      <c r="A64" s="1" t="inlineStr">
        <is>
          <t>Brindlewick</t>
        </is>
      </c>
      <c r="B64" t="n">
        <v>71459</v>
      </c>
      <c r="C64" t="inlineStr">
        <is>
          <t xml:space="preserve">Brick Builders United  </t>
        </is>
      </c>
      <c r="D64" t="inlineStr">
        <is>
          <t xml:space="preserve">Tate Rowe  </t>
        </is>
      </c>
      <c r="E64" t="inlineStr">
        <is>
          <t xml:space="preserve">Forest Hills School  </t>
        </is>
      </c>
      <c r="F64" t="inlineStr">
        <is>
          <t>D2</t>
        </is>
      </c>
      <c r="G64" t="n">
        <v>10</v>
      </c>
      <c r="H64" s="3" t="n"/>
    </row>
    <row r="65" ht="15.75" customHeight="1">
      <c r="A65" s="1" t="inlineStr">
        <is>
          <t>Brindlewick</t>
        </is>
      </c>
      <c r="B65" t="n">
        <v>71710</v>
      </c>
      <c r="C65" t="inlineStr">
        <is>
          <t xml:space="preserve">Brick Breakers  </t>
        </is>
      </c>
      <c r="D65" t="inlineStr">
        <is>
          <t xml:space="preserve">Corbin Shaw  </t>
        </is>
      </c>
      <c r="E65" t="inlineStr">
        <is>
          <t xml:space="preserve">Silver Creek Preparatory  </t>
        </is>
      </c>
      <c r="F65" t="inlineStr">
        <is>
          <t>D2</t>
        </is>
      </c>
      <c r="G65" t="n">
        <v>8</v>
      </c>
      <c r="H65" s="3" t="n"/>
    </row>
    <row r="66" ht="15.75" customHeight="1">
      <c r="A66" s="1" t="inlineStr">
        <is>
          <t>Brindlewick</t>
        </is>
      </c>
      <c r="B66" t="n">
        <v>72066</v>
      </c>
      <c r="C66" t="inlineStr">
        <is>
          <t xml:space="preserve">Brickstorm  </t>
        </is>
      </c>
      <c r="D66" t="inlineStr">
        <is>
          <t xml:space="preserve">Dawson Blake  </t>
        </is>
      </c>
      <c r="E66" t="inlineStr">
        <is>
          <t xml:space="preserve">Twin Lakes Academy  </t>
        </is>
      </c>
      <c r="F66" t="inlineStr">
        <is>
          <t>D2</t>
        </is>
      </c>
      <c r="G66" t="n">
        <v>7</v>
      </c>
      <c r="H66" s="3" t="n"/>
    </row>
    <row r="67" ht="15.75" customHeight="1">
      <c r="A67" s="1" t="inlineStr">
        <is>
          <t>Brindlewick</t>
        </is>
      </c>
      <c r="B67" t="n">
        <v>73351</v>
      </c>
      <c r="C67" t="inlineStr">
        <is>
          <t xml:space="preserve">Brick Force  </t>
        </is>
      </c>
      <c r="D67" t="inlineStr">
        <is>
          <t xml:space="preserve">Rhett Harlan  </t>
        </is>
      </c>
      <c r="E67" t="inlineStr">
        <is>
          <t xml:space="preserve">Meadow Ridge School  </t>
        </is>
      </c>
      <c r="F67" t="inlineStr">
        <is>
          <t>D2</t>
        </is>
      </c>
      <c r="G67" t="n">
        <v>3</v>
      </c>
      <c r="H67" s="3" t="n"/>
    </row>
    <row r="68" ht="15.75" customHeight="1">
      <c r="A68" s="1" t="inlineStr">
        <is>
          <t>Brindlewick</t>
        </is>
      </c>
      <c r="B68" t="n">
        <v>73391</v>
      </c>
      <c r="C68" t="inlineStr">
        <is>
          <t xml:space="preserve">Brick Ninjas  </t>
        </is>
      </c>
      <c r="D68" t="inlineStr">
        <is>
          <t xml:space="preserve">Kellan Briggs  </t>
        </is>
      </c>
      <c r="E68" t="inlineStr">
        <is>
          <t xml:space="preserve">Skyview Charter School  </t>
        </is>
      </c>
      <c r="F68" t="inlineStr">
        <is>
          <t>D2</t>
        </is>
      </c>
      <c r="G68" t="n">
        <v>6</v>
      </c>
      <c r="H68" s="3" t="n"/>
    </row>
    <row r="69" ht="15.75" customHeight="1">
      <c r="A69" s="1" t="inlineStr">
        <is>
          <t>Brindlewick</t>
        </is>
      </c>
      <c r="B69" t="n">
        <v>73708</v>
      </c>
      <c r="C69" t="inlineStr">
        <is>
          <t xml:space="preserve">Brick Masters  </t>
        </is>
      </c>
      <c r="D69" t="inlineStr">
        <is>
          <t xml:space="preserve">Zane Turner  </t>
        </is>
      </c>
      <c r="E69" t="inlineStr">
        <is>
          <t xml:space="preserve">Liberty Grove Academy  </t>
        </is>
      </c>
      <c r="F69" t="inlineStr">
        <is>
          <t>D2</t>
        </is>
      </c>
      <c r="G69" t="n">
        <v>7</v>
      </c>
      <c r="H69" s="3" t="n"/>
    </row>
    <row r="70" ht="15.75" customHeight="1">
      <c r="A70" s="1" t="inlineStr">
        <is>
          <t>Northfall_Reach</t>
        </is>
      </c>
      <c r="B70" t="n">
        <v>54250</v>
      </c>
      <c r="C70" t="inlineStr">
        <is>
          <t xml:space="preserve">Brick Squad  </t>
        </is>
      </c>
      <c r="D70" t="inlineStr">
        <is>
          <t xml:space="preserve">Jude Mercer  </t>
        </is>
      </c>
      <c r="E70" t="inlineStr">
        <is>
          <t xml:space="preserve">Heritage Springs School  </t>
        </is>
      </c>
      <c r="F70" t="inlineStr">
        <is>
          <t>D1</t>
        </is>
      </c>
      <c r="G70" t="n">
        <v>8</v>
      </c>
      <c r="H70" s="3" t="n"/>
    </row>
    <row r="71" ht="15.75" customHeight="1">
      <c r="A71" s="1" t="inlineStr">
        <is>
          <t>Northfall_Reach</t>
        </is>
      </c>
      <c r="B71" t="n">
        <v>57492</v>
      </c>
      <c r="C71" t="inlineStr">
        <is>
          <t xml:space="preserve">Brick Titans  </t>
        </is>
      </c>
      <c r="D71" t="inlineStr">
        <is>
          <t xml:space="preserve">Cody Barrett  </t>
        </is>
      </c>
      <c r="E71" t="inlineStr">
        <is>
          <t xml:space="preserve">Pioneer Valley Academy  </t>
        </is>
      </c>
      <c r="F71" t="inlineStr">
        <is>
          <t>D1</t>
        </is>
      </c>
      <c r="G71" t="n">
        <v>5</v>
      </c>
      <c r="H71" s="3" t="n"/>
    </row>
    <row r="72" ht="15.75" customHeight="1">
      <c r="A72" s="1" t="inlineStr">
        <is>
          <t>Northfall_Reach</t>
        </is>
      </c>
      <c r="B72" t="n">
        <v>67933</v>
      </c>
      <c r="C72" t="inlineStr">
        <is>
          <t xml:space="preserve">Brick Engineers  </t>
        </is>
      </c>
      <c r="D72" t="inlineStr">
        <is>
          <t xml:space="preserve">Trent Rhodes  </t>
        </is>
      </c>
      <c r="E72" t="inlineStr">
        <is>
          <t xml:space="preserve">Aspen Ridge School  </t>
        </is>
      </c>
      <c r="F72" t="inlineStr">
        <is>
          <t>D1</t>
        </is>
      </c>
      <c r="G72" t="n">
        <v>6</v>
      </c>
      <c r="H72" s="3" t="n"/>
    </row>
    <row r="73" ht="15.75" customHeight="1">
      <c r="A73" s="1" t="inlineStr">
        <is>
          <t>Northfall_Reach</t>
        </is>
      </c>
      <c r="B73" t="n">
        <v>68506</v>
      </c>
      <c r="C73" t="inlineStr">
        <is>
          <t xml:space="preserve">Brick Mechanics  </t>
        </is>
      </c>
      <c r="D73" t="inlineStr">
        <is>
          <t xml:space="preserve">Shane Pierce  </t>
        </is>
      </c>
      <c r="E73" t="inlineStr">
        <is>
          <t xml:space="preserve">Cedar Grove Preparatory  </t>
        </is>
      </c>
      <c r="F73" t="inlineStr">
        <is>
          <t>D1</t>
        </is>
      </c>
      <c r="G73" t="n">
        <v>5</v>
      </c>
      <c r="H73" s="3" t="n"/>
    </row>
    <row r="74" ht="15.75" customHeight="1">
      <c r="A74" s="1" t="inlineStr">
        <is>
          <t>Northfall_Reach</t>
        </is>
      </c>
      <c r="B74" t="n">
        <v>69003</v>
      </c>
      <c r="C74" t="inlineStr">
        <is>
          <t xml:space="preserve">Brick Innovators  </t>
        </is>
      </c>
      <c r="D74" t="inlineStr">
        <is>
          <t xml:space="preserve">Derek Chandler  </t>
        </is>
      </c>
      <c r="E74" t="inlineStr">
        <is>
          <t xml:space="preserve">Maple Ridge Academy  </t>
        </is>
      </c>
      <c r="F74" t="inlineStr">
        <is>
          <t>D1</t>
        </is>
      </c>
      <c r="G74" t="n">
        <v>9</v>
      </c>
      <c r="H74" s="3" t="n"/>
    </row>
    <row r="75" ht="15.75" customHeight="1">
      <c r="A75" s="1" t="inlineStr">
        <is>
          <t>Northfall_Reach</t>
        </is>
      </c>
      <c r="B75" t="n">
        <v>72156</v>
      </c>
      <c r="C75" t="inlineStr">
        <is>
          <t xml:space="preserve">Brick Sparks  </t>
        </is>
      </c>
      <c r="D75" t="inlineStr">
        <is>
          <t xml:space="preserve">Grant Foster  </t>
        </is>
      </c>
      <c r="E75" t="inlineStr">
        <is>
          <t xml:space="preserve">Riverbend Charter School  </t>
        </is>
      </c>
      <c r="F75" t="inlineStr">
        <is>
          <t>D1</t>
        </is>
      </c>
      <c r="G75" t="n">
        <v>3</v>
      </c>
      <c r="H75" s="3" t="n"/>
    </row>
    <row r="76" ht="15.75" customHeight="1">
      <c r="A76" s="1" t="inlineStr">
        <is>
          <t>Northfall_Reach</t>
        </is>
      </c>
      <c r="B76" t="n">
        <v>25749</v>
      </c>
      <c r="C76" t="inlineStr">
        <is>
          <t xml:space="preserve">Brick Blasters  </t>
        </is>
      </c>
      <c r="D76" t="inlineStr">
        <is>
          <t xml:space="preserve">Warren Doyle  </t>
        </is>
      </c>
      <c r="E76" t="inlineStr">
        <is>
          <t xml:space="preserve">Bright Horizon School  </t>
        </is>
      </c>
      <c r="F76" t="inlineStr">
        <is>
          <t>D2</t>
        </is>
      </c>
      <c r="G76" t="n">
        <v>5</v>
      </c>
      <c r="H76" s="3" t="n"/>
    </row>
    <row r="77" ht="15.75" customHeight="1">
      <c r="A77" s="1" t="inlineStr">
        <is>
          <t>Northfall_Reach</t>
        </is>
      </c>
      <c r="B77" t="n">
        <v>46108</v>
      </c>
      <c r="C77" t="inlineStr">
        <is>
          <t xml:space="preserve">Brick Knights  </t>
        </is>
      </c>
      <c r="D77" t="inlineStr">
        <is>
          <t xml:space="preserve">Marshall Kent  </t>
        </is>
      </c>
      <c r="E77" t="inlineStr">
        <is>
          <t xml:space="preserve">North Valley Academy  </t>
        </is>
      </c>
      <c r="F77" t="inlineStr">
        <is>
          <t>D2</t>
        </is>
      </c>
      <c r="G77" t="n">
        <v>7</v>
      </c>
      <c r="H77" s="3" t="n"/>
    </row>
    <row r="78" ht="15.75" customHeight="1">
      <c r="A78" s="1" t="inlineStr">
        <is>
          <t>Northfall_Reach</t>
        </is>
      </c>
      <c r="B78" t="n">
        <v>52615</v>
      </c>
      <c r="C78" t="inlineStr">
        <is>
          <t xml:space="preserve">Brick Wizards  </t>
        </is>
      </c>
      <c r="D78" t="inlineStr">
        <is>
          <t xml:space="preserve">Clayton Rowe  </t>
        </is>
      </c>
      <c r="E78" t="inlineStr">
        <is>
          <t xml:space="preserve">South Ridge School  </t>
        </is>
      </c>
      <c r="F78" t="inlineStr">
        <is>
          <t>D2</t>
        </is>
      </c>
      <c r="G78" t="n">
        <v>9</v>
      </c>
      <c r="H78" s="3" t="n"/>
    </row>
    <row r="79" ht="15.75" customHeight="1">
      <c r="A79" s="1" t="inlineStr">
        <is>
          <t>Northfall_Reach</t>
        </is>
      </c>
      <c r="B79" t="n">
        <v>56466</v>
      </c>
      <c r="C79" t="inlineStr">
        <is>
          <t xml:space="preserve">Brick Fusion  </t>
        </is>
      </c>
      <c r="D79" t="inlineStr">
        <is>
          <t xml:space="preserve">Preston Shaw  </t>
        </is>
      </c>
      <c r="E79" t="inlineStr">
        <is>
          <t xml:space="preserve">East Meadow Academy  </t>
        </is>
      </c>
      <c r="F79" t="inlineStr">
        <is>
          <t>D2</t>
        </is>
      </c>
      <c r="G79" t="n">
        <v>7</v>
      </c>
      <c r="H79" s="3" t="n"/>
    </row>
    <row r="80" ht="15.75" customHeight="1">
      <c r="A80" s="1" t="inlineStr">
        <is>
          <t>Northfall_Reach</t>
        </is>
      </c>
      <c r="B80" t="n">
        <v>60769</v>
      </c>
      <c r="C80" t="inlineStr">
        <is>
          <t xml:space="preserve">Brick Blitz  </t>
        </is>
      </c>
      <c r="D80" t="inlineStr">
        <is>
          <t xml:space="preserve">Dustin Blake  </t>
        </is>
      </c>
      <c r="E80" t="inlineStr">
        <is>
          <t xml:space="preserve">Westview Preparatory  </t>
        </is>
      </c>
      <c r="F80" t="inlineStr">
        <is>
          <t>D2</t>
        </is>
      </c>
      <c r="G80" t="n">
        <v>5</v>
      </c>
      <c r="H80" s="3" t="n"/>
    </row>
    <row r="81" ht="15.75" customHeight="1">
      <c r="A81" s="1" t="inlineStr">
        <is>
          <t>Northfall_Reach</t>
        </is>
      </c>
      <c r="B81" t="n">
        <v>66494</v>
      </c>
      <c r="C81" t="inlineStr">
        <is>
          <t xml:space="preserve">Brick Bots Brigade  </t>
        </is>
      </c>
      <c r="D81" t="inlineStr">
        <is>
          <t xml:space="preserve">Brady Harlan  </t>
        </is>
      </c>
      <c r="E81" t="inlineStr">
        <is>
          <t xml:space="preserve">Hillcrest Academy  </t>
        </is>
      </c>
      <c r="F81" t="inlineStr">
        <is>
          <t>D2</t>
        </is>
      </c>
      <c r="G81" t="n">
        <v>9</v>
      </c>
      <c r="H81" s="3" t="n"/>
    </row>
    <row r="82" ht="15.75" customHeight="1">
      <c r="A82" s="1" t="inlineStr">
        <is>
          <t>Northfall_Reach</t>
        </is>
      </c>
      <c r="B82" t="n">
        <v>70668</v>
      </c>
      <c r="C82" t="inlineStr">
        <is>
          <t xml:space="preserve">Brick Mavericks  </t>
        </is>
      </c>
      <c r="D82" t="inlineStr">
        <is>
          <t xml:space="preserve">Chase Everett  </t>
        </is>
      </c>
      <c r="E82" t="inlineStr">
        <is>
          <t xml:space="preserve">Lighthouse Point School  </t>
        </is>
      </c>
      <c r="F82" t="inlineStr">
        <is>
          <t>D2</t>
        </is>
      </c>
      <c r="G82" t="n">
        <v>5</v>
      </c>
      <c r="H82" s="3" t="n"/>
    </row>
    <row r="83" ht="15.75" customHeight="1">
      <c r="A83" s="1" t="inlineStr">
        <is>
          <t>Northfall_Reach</t>
        </is>
      </c>
      <c r="B83" t="n">
        <v>71677</v>
      </c>
      <c r="C83" t="inlineStr">
        <is>
          <t xml:space="preserve">Brick Tech Tribe  </t>
        </is>
      </c>
      <c r="D83" t="inlineStr">
        <is>
          <t xml:space="preserve">Tyler Collins  </t>
        </is>
      </c>
      <c r="E83" t="inlineStr">
        <is>
          <t xml:space="preserve">Greenfield Ridge School  </t>
        </is>
      </c>
      <c r="F83" t="inlineStr">
        <is>
          <t>D2</t>
        </is>
      </c>
      <c r="G83" t="n">
        <v>4</v>
      </c>
      <c r="H83" s="3" t="n"/>
    </row>
    <row r="84" ht="15.75" customHeight="1">
      <c r="A84" s="1" t="inlineStr">
        <is>
          <t>Northfall_Reach</t>
        </is>
      </c>
      <c r="B84" t="n">
        <v>74021</v>
      </c>
      <c r="C84" t="inlineStr">
        <is>
          <t xml:space="preserve">Brick Breakthrough  </t>
        </is>
      </c>
      <c r="D84" t="inlineStr">
        <is>
          <t xml:space="preserve">Brandon Carter  </t>
        </is>
      </c>
      <c r="E84" t="inlineStr">
        <is>
          <t xml:space="preserve">Lakeview Charter School  </t>
        </is>
      </c>
      <c r="F84" t="inlineStr">
        <is>
          <t>D2</t>
        </is>
      </c>
      <c r="G84" t="n">
        <v>5</v>
      </c>
      <c r="H84" s="3" t="n"/>
    </row>
    <row r="85" ht="15.75" customHeight="1">
      <c r="A85" s="1" t="inlineStr">
        <is>
          <t>Dunford</t>
        </is>
      </c>
      <c r="B85" t="n">
        <v>35481</v>
      </c>
      <c r="C85" t="inlineStr">
        <is>
          <t xml:space="preserve">Brick Commanders  </t>
        </is>
      </c>
      <c r="D85" t="inlineStr">
        <is>
          <t xml:space="preserve">Shawn Hayes  </t>
        </is>
      </c>
      <c r="E85" t="inlineStr">
        <is>
          <t xml:space="preserve">Mountain Brook Academy  </t>
        </is>
      </c>
      <c r="F85" t="inlineStr">
        <is>
          <t>D1</t>
        </is>
      </c>
      <c r="G85" t="n">
        <v>4</v>
      </c>
      <c r="H85" s="3" t="n"/>
    </row>
    <row r="86" ht="15.75" customHeight="1">
      <c r="A86" s="1" t="inlineStr">
        <is>
          <t>Dunford</t>
        </is>
      </c>
      <c r="B86" t="n">
        <v>43930</v>
      </c>
      <c r="C86" t="inlineStr">
        <is>
          <t xml:space="preserve">Brick Explorers  </t>
        </is>
      </c>
      <c r="D86" t="inlineStr">
        <is>
          <t xml:space="preserve">Trevor Flynn  </t>
        </is>
      </c>
      <c r="E86" t="inlineStr">
        <is>
          <t xml:space="preserve">Willow Glen School  </t>
        </is>
      </c>
      <c r="F86" t="inlineStr">
        <is>
          <t>D1</t>
        </is>
      </c>
      <c r="G86" t="n">
        <v>4</v>
      </c>
      <c r="H86" s="3" t="n"/>
    </row>
    <row r="87" ht="15.75" customHeight="1">
      <c r="A87" s="1" t="inlineStr">
        <is>
          <t>Dunford</t>
        </is>
      </c>
      <c r="B87" t="n">
        <v>48342</v>
      </c>
      <c r="C87" t="inlineStr">
        <is>
          <t xml:space="preserve">Brick Pioneers  </t>
        </is>
      </c>
      <c r="D87" t="inlineStr">
        <is>
          <t xml:space="preserve">Kyle Porter  </t>
        </is>
      </c>
      <c r="E87" t="inlineStr">
        <is>
          <t xml:space="preserve">Brookside Ridge Academy  </t>
        </is>
      </c>
      <c r="F87" t="inlineStr">
        <is>
          <t>D1</t>
        </is>
      </c>
      <c r="G87" t="n">
        <v>7</v>
      </c>
      <c r="H87" s="3" t="n"/>
    </row>
    <row r="88" ht="15.75" customHeight="1">
      <c r="A88" s="1" t="inlineStr">
        <is>
          <t>Dunford</t>
        </is>
      </c>
      <c r="B88" t="n">
        <v>62031</v>
      </c>
      <c r="C88" t="inlineStr">
        <is>
          <t xml:space="preserve">Brick Revolution  </t>
        </is>
      </c>
      <c r="D88" t="inlineStr">
        <is>
          <t xml:space="preserve">Mitchell Brooks  </t>
        </is>
      </c>
      <c r="E88" t="inlineStr">
        <is>
          <t xml:space="preserve">Clearwater Preparatory  </t>
        </is>
      </c>
      <c r="F88" t="inlineStr">
        <is>
          <t>D1</t>
        </is>
      </c>
      <c r="G88" t="n">
        <v>4</v>
      </c>
      <c r="H88" s="3" t="n"/>
    </row>
    <row r="89" ht="15.75" customHeight="1">
      <c r="A89" s="1" t="inlineStr">
        <is>
          <t>Dunford</t>
        </is>
      </c>
      <c r="B89" t="n">
        <v>64960</v>
      </c>
      <c r="C89" t="inlineStr">
        <is>
          <t xml:space="preserve">Brick Stormers  </t>
        </is>
      </c>
      <c r="D89" t="inlineStr">
        <is>
          <t xml:space="preserve">Garrett Dalton  </t>
        </is>
      </c>
      <c r="E89" t="inlineStr">
        <is>
          <t xml:space="preserve">Evergreen Valley School  </t>
        </is>
      </c>
      <c r="F89" t="inlineStr">
        <is>
          <t>D1</t>
        </is>
      </c>
      <c r="G89" t="n">
        <v>5</v>
      </c>
      <c r="H89" s="3" t="n"/>
    </row>
    <row r="90" ht="15.75" customHeight="1">
      <c r="A90" s="1" t="inlineStr">
        <is>
          <t>Dunford</t>
        </is>
      </c>
      <c r="B90" t="n">
        <v>68109</v>
      </c>
      <c r="C90" t="inlineStr">
        <is>
          <t xml:space="preserve">Brick Tinkerers  </t>
        </is>
      </c>
      <c r="D90" t="inlineStr">
        <is>
          <t xml:space="preserve">Casey Harmon  </t>
        </is>
      </c>
      <c r="E90" t="inlineStr">
        <is>
          <t xml:space="preserve">Highland Ridge Academy  </t>
        </is>
      </c>
      <c r="F90" t="inlineStr">
        <is>
          <t>D1</t>
        </is>
      </c>
      <c r="G90" t="n">
        <v>5</v>
      </c>
      <c r="H90" s="3" t="n"/>
    </row>
    <row r="91" ht="15.75" customHeight="1">
      <c r="A91" s="1" t="inlineStr">
        <is>
          <t>Dunford</t>
        </is>
      </c>
      <c r="B91" t="n">
        <v>68869</v>
      </c>
      <c r="C91" t="inlineStr">
        <is>
          <t xml:space="preserve">Brick Warriors  </t>
        </is>
      </c>
      <c r="D91" t="inlineStr">
        <is>
          <t xml:space="preserve">Dylan Everett  </t>
        </is>
      </c>
      <c r="E91" t="inlineStr">
        <is>
          <t xml:space="preserve">Valley Springs School  </t>
        </is>
      </c>
      <c r="F91" t="inlineStr">
        <is>
          <t>D1</t>
        </is>
      </c>
      <c r="G91" t="n">
        <v>4</v>
      </c>
      <c r="H91" s="3" t="n"/>
    </row>
    <row r="92" ht="15.75" customHeight="1">
      <c r="A92" s="1" t="inlineStr">
        <is>
          <t>Dunford</t>
        </is>
      </c>
      <c r="B92" t="n">
        <v>70745</v>
      </c>
      <c r="C92" t="inlineStr">
        <is>
          <t xml:space="preserve">Brick Legends  </t>
        </is>
      </c>
      <c r="D92" t="inlineStr">
        <is>
          <t xml:space="preserve">Blake Chandler  </t>
        </is>
      </c>
      <c r="E92" t="inlineStr">
        <is>
          <t xml:space="preserve">Sunrise Meadow Academy  </t>
        </is>
      </c>
      <c r="F92" t="inlineStr">
        <is>
          <t>D1</t>
        </is>
      </c>
      <c r="G92" t="n">
        <v>4</v>
      </c>
      <c r="H92" s="3" t="n"/>
    </row>
    <row r="93" ht="15.75" customHeight="1">
      <c r="A93" s="1" t="inlineStr">
        <is>
          <t>Dunford</t>
        </is>
      </c>
      <c r="B93" t="n">
        <v>73400</v>
      </c>
      <c r="C93" t="inlineStr">
        <is>
          <t xml:space="preserve">Brick Innovators  </t>
        </is>
      </c>
      <c r="D93" t="inlineStr">
        <is>
          <t xml:space="preserve">Carter Pierce  </t>
        </is>
      </c>
      <c r="E93" t="inlineStr">
        <is>
          <t xml:space="preserve">Canyon Springs School  </t>
        </is>
      </c>
      <c r="F93" t="inlineStr">
        <is>
          <t>D1</t>
        </is>
      </c>
      <c r="G93" t="n">
        <v>6</v>
      </c>
      <c r="H93" s="3" t="n"/>
    </row>
    <row r="94" ht="15.75" customHeight="1">
      <c r="A94" s="1" t="inlineStr">
        <is>
          <t>Dunford</t>
        </is>
      </c>
      <c r="B94" t="n">
        <v>2916</v>
      </c>
      <c r="C94" t="inlineStr">
        <is>
          <t xml:space="preserve">Brick Mavericks  </t>
        </is>
      </c>
      <c r="D94" t="inlineStr">
        <is>
          <t xml:space="preserve">Hunter Rhodes  </t>
        </is>
      </c>
      <c r="E94" t="inlineStr">
        <is>
          <t xml:space="preserve">Forest Ridge Academy  </t>
        </is>
      </c>
      <c r="F94" t="inlineStr">
        <is>
          <t>D2</t>
        </is>
      </c>
      <c r="G94" t="n">
        <v>8</v>
      </c>
      <c r="H94" s="3" t="n"/>
    </row>
    <row r="95" ht="15.75" customHeight="1">
      <c r="A95" s="1" t="inlineStr">
        <is>
          <t>Dunford</t>
        </is>
      </c>
      <c r="B95" t="n">
        <v>61800</v>
      </c>
      <c r="C95" t="inlineStr">
        <is>
          <t xml:space="preserve">Brick Titans  </t>
        </is>
      </c>
      <c r="D95" t="inlineStr">
        <is>
          <t xml:space="preserve">Jared Foster  </t>
        </is>
      </c>
      <c r="E95" t="inlineStr">
        <is>
          <t xml:space="preserve">Silverbrook Preparatory  </t>
        </is>
      </c>
      <c r="F95" t="inlineStr">
        <is>
          <t>D2</t>
        </is>
      </c>
      <c r="G95" t="n">
        <v>4</v>
      </c>
      <c r="H95" s="3" t="n"/>
    </row>
    <row r="96" ht="15.75" customHeight="1">
      <c r="A96" s="1" t="inlineStr">
        <is>
          <t>Dunford</t>
        </is>
      </c>
      <c r="B96" t="n">
        <v>65394</v>
      </c>
      <c r="C96" t="inlineStr">
        <is>
          <t xml:space="preserve">Brick Rangers  </t>
        </is>
      </c>
      <c r="D96" t="inlineStr">
        <is>
          <t xml:space="preserve">Colby Maddox  </t>
        </is>
      </c>
      <c r="E96" t="inlineStr">
        <is>
          <t xml:space="preserve">Twin Pines Academy  </t>
        </is>
      </c>
      <c r="F96" t="inlineStr">
        <is>
          <t>D2</t>
        </is>
      </c>
      <c r="G96" t="n">
        <v>4</v>
      </c>
      <c r="H96" s="3" t="n"/>
    </row>
    <row r="97" ht="15.75" customHeight="1">
      <c r="A97" s="1" t="inlineStr">
        <is>
          <t>Dunford</t>
        </is>
      </c>
      <c r="B97" t="n">
        <v>65737</v>
      </c>
      <c r="C97" t="inlineStr">
        <is>
          <t xml:space="preserve">Brick Mechanics  </t>
        </is>
      </c>
      <c r="D97" t="inlineStr">
        <is>
          <t xml:space="preserve">Bryce Shaw  </t>
        </is>
      </c>
      <c r="E97" t="inlineStr">
        <is>
          <t xml:space="preserve">Meadow Springs School  </t>
        </is>
      </c>
      <c r="F97" t="inlineStr">
        <is>
          <t>D2</t>
        </is>
      </c>
      <c r="G97" t="n">
        <v>4</v>
      </c>
      <c r="H97" s="3" t="n"/>
    </row>
    <row r="98" ht="15.75" customHeight="1">
      <c r="A98" s="1" t="inlineStr">
        <is>
          <t>Dunford</t>
        </is>
      </c>
      <c r="B98" t="n">
        <v>67978</v>
      </c>
      <c r="C98" t="inlineStr">
        <is>
          <t xml:space="preserve">Brick Bots United  </t>
        </is>
      </c>
      <c r="D98" t="inlineStr">
        <is>
          <t xml:space="preserve">Lane Turner  </t>
        </is>
      </c>
      <c r="E98" t="inlineStr">
        <is>
          <t xml:space="preserve">Skyline Ridge Academy  </t>
        </is>
      </c>
      <c r="F98" t="inlineStr">
        <is>
          <t>D2</t>
        </is>
      </c>
      <c r="G98" t="n">
        <v>6</v>
      </c>
      <c r="H98" s="3" t="n"/>
    </row>
    <row r="99" ht="15.75" customHeight="1">
      <c r="A99" s="1" t="inlineStr">
        <is>
          <t>Dunford</t>
        </is>
      </c>
      <c r="B99" t="n">
        <v>70056</v>
      </c>
      <c r="C99" t="inlineStr">
        <is>
          <t xml:space="preserve">Brick Fusion Force  </t>
        </is>
      </c>
      <c r="D99" t="inlineStr">
        <is>
          <t xml:space="preserve">Shane Mercer  </t>
        </is>
      </c>
      <c r="E99" t="inlineStr">
        <is>
          <t xml:space="preserve">Liberty Hill School  </t>
        </is>
      </c>
      <c r="F99" t="inlineStr">
        <is>
          <t>D2</t>
        </is>
      </c>
      <c r="G99" t="n">
        <v>7</v>
      </c>
      <c r="H99" s="3" t="n"/>
    </row>
    <row r="100" ht="15.75" customHeight="1">
      <c r="A100" s="1" t="inlineStr">
        <is>
          <t>Dunford</t>
        </is>
      </c>
      <c r="B100" t="n">
        <v>70448</v>
      </c>
      <c r="C100" t="inlineStr">
        <is>
          <t xml:space="preserve">Brick Innovators Guild  </t>
        </is>
      </c>
      <c r="D100" t="inlineStr">
        <is>
          <t xml:space="preserve">Troy Barrett  </t>
        </is>
      </c>
      <c r="E100" t="inlineStr">
        <is>
          <t xml:space="preserve">Heritage Valley Academy  </t>
        </is>
      </c>
      <c r="F100" t="inlineStr">
        <is>
          <t>D2</t>
        </is>
      </c>
      <c r="G100" t="n">
        <v>5</v>
      </c>
      <c r="H100" s="3" t="n"/>
    </row>
    <row r="101" ht="15.75" customHeight="1">
      <c r="A101" s="1" t="inlineStr">
        <is>
          <t>Dunford</t>
        </is>
      </c>
      <c r="B101" t="n">
        <v>70505</v>
      </c>
      <c r="C101" t="inlineStr">
        <is>
          <t xml:space="preserve">Brick Tech Titans  </t>
        </is>
      </c>
      <c r="D101" t="inlineStr">
        <is>
          <t xml:space="preserve">Wade Briggs  </t>
        </is>
      </c>
      <c r="E101" t="inlineStr">
        <is>
          <t xml:space="preserve">Pioneer Springs School  </t>
        </is>
      </c>
      <c r="F101" t="inlineStr">
        <is>
          <t>D2</t>
        </is>
      </c>
      <c r="G101" t="n">
        <v>9</v>
      </c>
      <c r="H101" s="3" t="n"/>
    </row>
    <row r="102" ht="15.75" customHeight="1">
      <c r="A102" s="1" t="inlineStr">
        <is>
          <t>Dunford</t>
        </is>
      </c>
      <c r="B102" t="n">
        <v>72423</v>
      </c>
      <c r="C102" t="inlineStr">
        <is>
          <t xml:space="preserve">Quantum Quokkas  </t>
        </is>
      </c>
      <c r="D102" t="inlineStr">
        <is>
          <t xml:space="preserve">Dean Harlan  </t>
        </is>
      </c>
      <c r="E102" t="inlineStr">
        <is>
          <t xml:space="preserve">Aspen Creek Academy  </t>
        </is>
      </c>
      <c r="F102" t="inlineStr">
        <is>
          <t>D2</t>
        </is>
      </c>
      <c r="G102" t="n">
        <v>8</v>
      </c>
      <c r="H102" s="3" t="n"/>
    </row>
    <row r="103" ht="15.75" customHeight="1">
      <c r="A103" s="1" t="inlineStr">
        <is>
          <t>Dunford</t>
        </is>
      </c>
      <c r="B103" t="n">
        <v>72432</v>
      </c>
      <c r="C103" t="inlineStr">
        <is>
          <t xml:space="preserve">Nano Ninjas  </t>
        </is>
      </c>
      <c r="D103" t="inlineStr">
        <is>
          <t xml:space="preserve">Joel Everett  </t>
        </is>
      </c>
      <c r="E103" t="inlineStr">
        <is>
          <t xml:space="preserve">Cedar Hill Preparatory  </t>
        </is>
      </c>
      <c r="F103" t="inlineStr">
        <is>
          <t>D2</t>
        </is>
      </c>
      <c r="G103" t="n">
        <v>8</v>
      </c>
      <c r="H103" s="3" t="n"/>
    </row>
    <row r="104" ht="15.75" customHeight="1">
      <c r="A104" s="1" t="inlineStr">
        <is>
          <t>Dunford</t>
        </is>
      </c>
      <c r="B104" t="n">
        <v>73355</v>
      </c>
      <c r="C104" t="inlineStr">
        <is>
          <t xml:space="preserve">The STEMinators  </t>
        </is>
      </c>
      <c r="D104" t="inlineStr">
        <is>
          <t xml:space="preserve">Mark Chandler  </t>
        </is>
      </c>
      <c r="E104" t="inlineStr">
        <is>
          <t xml:space="preserve">Maple Crest Academy  </t>
        </is>
      </c>
      <c r="F104" t="inlineStr">
        <is>
          <t>D2</t>
        </is>
      </c>
      <c r="G104" t="n">
        <v>7</v>
      </c>
      <c r="H104" s="3" t="n"/>
    </row>
    <row r="105" ht="15.75" customHeight="1">
      <c r="A105" s="1" t="inlineStr">
        <is>
          <t>Dunford</t>
        </is>
      </c>
      <c r="B105" t="n">
        <v>73393</v>
      </c>
      <c r="C105" t="inlineStr">
        <is>
          <t xml:space="preserve">The Data Dynamos  </t>
        </is>
      </c>
      <c r="D105" t="inlineStr">
        <is>
          <t xml:space="preserve">Scott Pierce  </t>
        </is>
      </c>
      <c r="E105" t="inlineStr">
        <is>
          <t xml:space="preserve">Riverstone Ridge School  </t>
        </is>
      </c>
      <c r="F105" t="inlineStr">
        <is>
          <t>D2</t>
        </is>
      </c>
      <c r="G105" t="n">
        <v>5</v>
      </c>
      <c r="H105" s="3" t="n"/>
    </row>
    <row r="106" ht="15.75" customHeight="1">
      <c r="A106" s="1" t="inlineStr">
        <is>
          <t>Dunford</t>
        </is>
      </c>
      <c r="B106" t="n">
        <v>73395</v>
      </c>
      <c r="C106" t="inlineStr">
        <is>
          <t xml:space="preserve">The Algorithm Alliance  </t>
        </is>
      </c>
      <c r="D106" t="inlineStr">
        <is>
          <t xml:space="preserve">Neil Rhodes  </t>
        </is>
      </c>
      <c r="E106" t="inlineStr">
        <is>
          <t xml:space="preserve">Brightwood Academy  </t>
        </is>
      </c>
      <c r="F106" t="inlineStr">
        <is>
          <t>D2</t>
        </is>
      </c>
      <c r="G106" t="n">
        <v>4</v>
      </c>
      <c r="H106" s="3" t="n"/>
    </row>
    <row r="107" ht="15.75" customHeight="1">
      <c r="A107" s="1" t="inlineStr">
        <is>
          <t>Dunford</t>
        </is>
      </c>
      <c r="B107" t="n">
        <v>73923</v>
      </c>
      <c r="C107" t="inlineStr">
        <is>
          <t xml:space="preserve">The Quantum Crew  </t>
        </is>
      </c>
      <c r="D107" t="inlineStr">
        <is>
          <t xml:space="preserve">Todd Foster  </t>
        </is>
      </c>
      <c r="E107" t="inlineStr">
        <is>
          <t xml:space="preserve">Northbrook Middle School  </t>
        </is>
      </c>
      <c r="F107" t="inlineStr">
        <is>
          <t>D2</t>
        </is>
      </c>
      <c r="G107" t="n">
        <v>5</v>
      </c>
      <c r="H107" s="3" t="n"/>
    </row>
    <row r="108" ht="15.75" customHeight="1">
      <c r="A108" s="1" t="inlineStr">
        <is>
          <t>Dunford</t>
        </is>
      </c>
      <c r="B108" t="n">
        <v>74297</v>
      </c>
      <c r="C108" t="inlineStr">
        <is>
          <t xml:space="preserve">The Nano Navigators  </t>
        </is>
      </c>
      <c r="D108" t="inlineStr">
        <is>
          <t xml:space="preserve">Eric Dalton  </t>
        </is>
      </c>
      <c r="E108" t="inlineStr">
        <is>
          <t xml:space="preserve">Southgate Academy  </t>
        </is>
      </c>
      <c r="F108" t="inlineStr">
        <is>
          <t>D2</t>
        </is>
      </c>
      <c r="G108" t="n">
        <v>7</v>
      </c>
      <c r="H108" s="3" t="n"/>
    </row>
    <row r="109" ht="15.75" customHeight="1">
      <c r="A109" s="1" t="inlineStr">
        <is>
          <t>Marinth_Bay</t>
        </is>
      </c>
      <c r="B109" t="n">
        <v>4639</v>
      </c>
      <c r="C109" t="inlineStr">
        <is>
          <t xml:space="preserve">The STEM Squad  </t>
        </is>
      </c>
      <c r="D109" t="inlineStr">
        <is>
          <t xml:space="preserve">Bradley Harmon  </t>
        </is>
      </c>
      <c r="E109" t="inlineStr">
        <is>
          <t xml:space="preserve">East Ridge School  </t>
        </is>
      </c>
      <c r="F109" t="inlineStr">
        <is>
          <t>D1</t>
        </is>
      </c>
      <c r="G109" t="n">
        <v>10</v>
      </c>
      <c r="H109" s="3" t="n"/>
    </row>
    <row r="110" ht="15.75" customHeight="1">
      <c r="A110" s="1" t="inlineStr">
        <is>
          <t>Marinth_Bay</t>
        </is>
      </c>
      <c r="B110" t="n">
        <v>60720</v>
      </c>
      <c r="C110" t="inlineStr">
        <is>
          <t xml:space="preserve">The Science Spartans  </t>
        </is>
      </c>
      <c r="D110" t="inlineStr">
        <is>
          <t xml:space="preserve">Shawn Everett  </t>
        </is>
      </c>
      <c r="E110" t="inlineStr">
        <is>
          <t xml:space="preserve">Westshore Preparatory  </t>
        </is>
      </c>
      <c r="F110" t="inlineStr">
        <is>
          <t>D1</t>
        </is>
      </c>
      <c r="G110" t="n">
        <v>10</v>
      </c>
      <c r="H110" s="3" t="n"/>
    </row>
    <row r="111" ht="15.75" customHeight="1">
      <c r="A111" s="1" t="inlineStr">
        <is>
          <t>Marinth_Bay</t>
        </is>
      </c>
      <c r="B111" t="n">
        <v>66534</v>
      </c>
      <c r="C111" t="inlineStr">
        <is>
          <t xml:space="preserve">The Techno Thinkers  </t>
        </is>
      </c>
      <c r="D111" t="inlineStr">
        <is>
          <t xml:space="preserve">Keith Chandler  </t>
        </is>
      </c>
      <c r="E111" t="inlineStr">
        <is>
          <t xml:space="preserve">Hillview Academy  </t>
        </is>
      </c>
      <c r="F111" t="inlineStr">
        <is>
          <t>D1</t>
        </is>
      </c>
      <c r="G111" t="n">
        <v>6</v>
      </c>
      <c r="H111" s="3" t="n"/>
    </row>
    <row r="112" ht="15.75" customHeight="1">
      <c r="A112" s="1" t="inlineStr">
        <is>
          <t>Marinth_Bay</t>
        </is>
      </c>
      <c r="B112" t="n">
        <v>72719</v>
      </c>
      <c r="C112" t="inlineStr">
        <is>
          <t xml:space="preserve">The Data Drivers  </t>
        </is>
      </c>
      <c r="D112" t="inlineStr">
        <is>
          <t xml:space="preserve">Ross Pierce  </t>
        </is>
      </c>
      <c r="E112" t="inlineStr">
        <is>
          <t xml:space="preserve">Lighthouse Creek School  </t>
        </is>
      </c>
      <c r="F112" t="inlineStr">
        <is>
          <t>D1</t>
        </is>
      </c>
      <c r="G112" t="n">
        <v>2</v>
      </c>
      <c r="H112" s="3" t="n"/>
    </row>
    <row r="113" ht="15.75" customHeight="1">
      <c r="A113" s="1" t="inlineStr">
        <is>
          <t>Marinth_Bay</t>
        </is>
      </c>
      <c r="B113" t="n">
        <v>74444</v>
      </c>
      <c r="C113" t="inlineStr">
        <is>
          <t xml:space="preserve">The Algorithm Avengers  </t>
        </is>
      </c>
      <c r="D113" t="inlineStr">
        <is>
          <t xml:space="preserve">Grant Rhodes  </t>
        </is>
      </c>
      <c r="E113" t="inlineStr">
        <is>
          <t xml:space="preserve">Greenwood Ridge Academy  </t>
        </is>
      </c>
      <c r="F113" t="inlineStr">
        <is>
          <t>D1</t>
        </is>
      </c>
      <c r="G113" t="n">
        <v>4</v>
      </c>
      <c r="H113" s="3" t="n"/>
    </row>
    <row r="114" ht="15.75" customHeight="1">
      <c r="A114" s="1" t="inlineStr">
        <is>
          <t>Marinth_Bay</t>
        </is>
      </c>
      <c r="B114" t="n">
        <v>39485</v>
      </c>
      <c r="C114" t="inlineStr">
        <is>
          <t xml:space="preserve">The Quantum Questers  </t>
        </is>
      </c>
      <c r="D114" t="inlineStr">
        <is>
          <t xml:space="preserve">Eli Foster  </t>
        </is>
      </c>
      <c r="E114" t="inlineStr">
        <is>
          <t xml:space="preserve">Lakecrest Charter School  </t>
        </is>
      </c>
      <c r="F114" t="inlineStr">
        <is>
          <t>D2</t>
        </is>
      </c>
      <c r="G114" t="n">
        <v>4</v>
      </c>
      <c r="H114" s="3" t="n"/>
    </row>
    <row r="115" ht="15.75" customHeight="1">
      <c r="A115" s="1" t="inlineStr">
        <is>
          <t>Marinth_Bay</t>
        </is>
      </c>
      <c r="B115" t="n">
        <v>56005</v>
      </c>
      <c r="C115" t="inlineStr">
        <is>
          <t xml:space="preserve">The Nano Nomads  </t>
        </is>
      </c>
      <c r="D115" t="inlineStr">
        <is>
          <t xml:space="preserve">Jonas Maddox  </t>
        </is>
      </c>
      <c r="E115" t="inlineStr">
        <is>
          <t xml:space="preserve">Mountain View Preparatory  </t>
        </is>
      </c>
      <c r="F115" t="inlineStr">
        <is>
          <t>D2</t>
        </is>
      </c>
      <c r="G115" t="n">
        <v>10</v>
      </c>
      <c r="H115" s="3" t="n"/>
    </row>
    <row r="116" ht="15.75" customHeight="1">
      <c r="A116" s="1" t="inlineStr">
        <is>
          <t>Marinth_Bay</t>
        </is>
      </c>
      <c r="B116" t="n">
        <v>56532</v>
      </c>
      <c r="C116" t="inlineStr">
        <is>
          <t xml:space="preserve">The STEM Stars  </t>
        </is>
      </c>
      <c r="D116" t="inlineStr">
        <is>
          <t xml:space="preserve">Ronan Shaw  </t>
        </is>
      </c>
      <c r="E116" t="inlineStr">
        <is>
          <t xml:space="preserve">Willow Ridge Academy  </t>
        </is>
      </c>
      <c r="F116" t="inlineStr">
        <is>
          <t>D2</t>
        </is>
      </c>
      <c r="G116" t="n">
        <v>8</v>
      </c>
      <c r="H116" s="3" t="n"/>
    </row>
    <row r="117" ht="15.75" customHeight="1">
      <c r="A117" s="1" t="inlineStr">
        <is>
          <t>Marinth_Bay</t>
        </is>
      </c>
      <c r="B117" t="n">
        <v>57611</v>
      </c>
      <c r="C117" t="inlineStr">
        <is>
          <t xml:space="preserve">The Science Seekers  </t>
        </is>
      </c>
      <c r="D117" t="inlineStr">
        <is>
          <t xml:space="preserve">Milo Turner  </t>
        </is>
      </c>
      <c r="E117" t="inlineStr">
        <is>
          <t xml:space="preserve">Brookhaven School  </t>
        </is>
      </c>
      <c r="F117" t="inlineStr">
        <is>
          <t>D2</t>
        </is>
      </c>
      <c r="G117" t="n">
        <v>3</v>
      </c>
      <c r="H117" s="3" t="n"/>
    </row>
    <row r="118" ht="15.75" customHeight="1">
      <c r="A118" s="1" t="inlineStr">
        <is>
          <t>Marinth_Bay</t>
        </is>
      </c>
      <c r="B118" t="n">
        <v>59971</v>
      </c>
      <c r="C118" t="inlineStr">
        <is>
          <t xml:space="preserve">The Techno Trailblazers  </t>
        </is>
      </c>
      <c r="D118" t="inlineStr">
        <is>
          <t xml:space="preserve">Arlo Mercer  </t>
        </is>
      </c>
      <c r="E118" t="inlineStr">
        <is>
          <t xml:space="preserve">Clearbrook Academy  </t>
        </is>
      </c>
      <c r="F118" t="inlineStr">
        <is>
          <t>D2</t>
        </is>
      </c>
      <c r="G118" t="n">
        <v>4</v>
      </c>
      <c r="H118" s="3" t="n"/>
    </row>
    <row r="119" ht="15.75" customHeight="1">
      <c r="A119" s="1" t="inlineStr">
        <is>
          <t>Marinth_Bay</t>
        </is>
      </c>
      <c r="B119" t="n">
        <v>63139</v>
      </c>
      <c r="C119" t="inlineStr">
        <is>
          <t xml:space="preserve">The Data Detectives  </t>
        </is>
      </c>
      <c r="D119" t="inlineStr">
        <is>
          <t xml:space="preserve">Cyrus Barrett  </t>
        </is>
      </c>
      <c r="E119" t="inlineStr">
        <is>
          <t xml:space="preserve">Evergreen Crest School  </t>
        </is>
      </c>
      <c r="F119" t="inlineStr">
        <is>
          <t>D2</t>
        </is>
      </c>
      <c r="G119" t="n">
        <v>9</v>
      </c>
      <c r="H119" s="3" t="n"/>
    </row>
    <row r="120" ht="15.75" customHeight="1">
      <c r="A120" s="1" t="inlineStr">
        <is>
          <t>Marinth_Bay</t>
        </is>
      </c>
      <c r="B120" t="n">
        <v>63140</v>
      </c>
      <c r="C120" t="inlineStr">
        <is>
          <t xml:space="preserve">The Algorithm Architects  </t>
        </is>
      </c>
      <c r="D120" t="inlineStr">
        <is>
          <t xml:space="preserve">Dane Briggs  </t>
        </is>
      </c>
      <c r="E120" t="inlineStr">
        <is>
          <t xml:space="preserve">Highland Grove Academy  </t>
        </is>
      </c>
      <c r="F120" t="inlineStr">
        <is>
          <t>D2</t>
        </is>
      </c>
      <c r="G120" t="n">
        <v>7</v>
      </c>
      <c r="H120" s="3" t="n"/>
    </row>
    <row r="121" ht="15.75" customHeight="1">
      <c r="A121" s="1" t="inlineStr">
        <is>
          <t>Marinth_Bay</t>
        </is>
      </c>
      <c r="B121" t="n">
        <v>63141</v>
      </c>
      <c r="C121" t="inlineStr">
        <is>
          <t xml:space="preserve">The Quantum Quarks  </t>
        </is>
      </c>
      <c r="D121" t="inlineStr">
        <is>
          <t xml:space="preserve">Heath Harlan  </t>
        </is>
      </c>
      <c r="E121" t="inlineStr">
        <is>
          <t xml:space="preserve">Valley Ridge Charter School  </t>
        </is>
      </c>
      <c r="F121" t="inlineStr">
        <is>
          <t>D2</t>
        </is>
      </c>
      <c r="G121" t="n">
        <v>7</v>
      </c>
      <c r="H121" s="3" t="n"/>
    </row>
    <row r="122" ht="15.75" customHeight="1">
      <c r="A122" s="1" t="inlineStr">
        <is>
          <t>Marinth_Bay</t>
        </is>
      </c>
      <c r="B122" t="n">
        <v>63711</v>
      </c>
      <c r="C122" t="inlineStr">
        <is>
          <t xml:space="preserve">The Nano Nerds  </t>
        </is>
      </c>
      <c r="D122" t="inlineStr">
        <is>
          <t xml:space="preserve">Vince Everett  </t>
        </is>
      </c>
      <c r="E122" t="inlineStr">
        <is>
          <t xml:space="preserve">Sunset Valley Academy  </t>
        </is>
      </c>
      <c r="F122" t="inlineStr">
        <is>
          <t>D2</t>
        </is>
      </c>
      <c r="G122" t="n">
        <v>4</v>
      </c>
      <c r="H122" s="3" t="n"/>
    </row>
    <row r="123" ht="15.75" customHeight="1">
      <c r="A123" s="1" t="inlineStr">
        <is>
          <t>Marinth_Bay</t>
        </is>
      </c>
      <c r="B123" t="n">
        <v>70982</v>
      </c>
      <c r="C123" t="inlineStr">
        <is>
          <t xml:space="preserve">The STEM Strikers  </t>
        </is>
      </c>
      <c r="D123" t="inlineStr">
        <is>
          <t xml:space="preserve">Clark Chandler  </t>
        </is>
      </c>
      <c r="E123" t="inlineStr">
        <is>
          <t xml:space="preserve">Canyon Brook School  </t>
        </is>
      </c>
      <c r="F123" t="inlineStr">
        <is>
          <t>D2</t>
        </is>
      </c>
      <c r="G123" t="n">
        <v>3</v>
      </c>
      <c r="H123" s="3" t="n"/>
    </row>
    <row r="124" ht="15.75" customHeight="1">
      <c r="A124" s="1" t="inlineStr">
        <is>
          <t>Marinth_Bay</t>
        </is>
      </c>
      <c r="B124" t="n">
        <v>71911</v>
      </c>
      <c r="C124" t="inlineStr">
        <is>
          <t xml:space="preserve">The Science Sprinters  </t>
        </is>
      </c>
      <c r="D124" t="inlineStr">
        <is>
          <t xml:space="preserve">Brett Pierce  </t>
        </is>
      </c>
      <c r="E124" t="inlineStr">
        <is>
          <t xml:space="preserve">Forest Creek Academy  </t>
        </is>
      </c>
      <c r="F124" t="inlineStr">
        <is>
          <t>D2</t>
        </is>
      </c>
      <c r="G124" t="n">
        <v>5</v>
      </c>
      <c r="H124" s="3" t="n"/>
    </row>
    <row r="125" ht="15.75" customHeight="1">
      <c r="A125" s="1" t="inlineStr">
        <is>
          <t>Marinth_Bay</t>
        </is>
      </c>
      <c r="B125" t="n">
        <v>72035</v>
      </c>
      <c r="C125" t="inlineStr">
        <is>
          <t xml:space="preserve">The Techno Titans  </t>
        </is>
      </c>
      <c r="D125" t="inlineStr">
        <is>
          <t xml:space="preserve">Shay Rhodes  </t>
        </is>
      </c>
      <c r="E125" t="inlineStr">
        <is>
          <t xml:space="preserve">Silver Valley Preparatory  </t>
        </is>
      </c>
      <c r="F125" t="inlineStr">
        <is>
          <t>D2</t>
        </is>
      </c>
      <c r="G125" t="n">
        <v>5</v>
      </c>
      <c r="H125" s="3" t="n"/>
    </row>
    <row r="126" ht="15.75" customHeight="1">
      <c r="A126" s="1" t="inlineStr">
        <is>
          <t>Marinth_Bay</t>
        </is>
      </c>
      <c r="B126" t="n">
        <v>72056</v>
      </c>
      <c r="C126" t="inlineStr">
        <is>
          <t xml:space="preserve">The Data Dragons  </t>
        </is>
      </c>
      <c r="D126" t="inlineStr">
        <is>
          <t xml:space="preserve">Evan Foster  </t>
        </is>
      </c>
      <c r="E126" t="inlineStr">
        <is>
          <t xml:space="preserve">Twin Rivers Charter School  </t>
        </is>
      </c>
      <c r="F126" t="inlineStr">
        <is>
          <t>D2</t>
        </is>
      </c>
      <c r="G126" t="n">
        <v>8</v>
      </c>
      <c r="H126" s="3" t="n"/>
    </row>
    <row r="127" ht="15.75" customHeight="1">
      <c r="A127" s="1" t="inlineStr">
        <is>
          <t>Marinth_Bay</t>
        </is>
      </c>
      <c r="B127" t="n">
        <v>72932</v>
      </c>
      <c r="C127" t="inlineStr">
        <is>
          <t xml:space="preserve">The Algorithm Agents  </t>
        </is>
      </c>
      <c r="D127" t="inlineStr">
        <is>
          <t xml:space="preserve">Miles Dalton  </t>
        </is>
      </c>
      <c r="E127" t="inlineStr">
        <is>
          <t xml:space="preserve">Meadow Glen Academy  </t>
        </is>
      </c>
      <c r="F127" t="inlineStr">
        <is>
          <t>D2</t>
        </is>
      </c>
      <c r="G127" t="n">
        <v>7</v>
      </c>
      <c r="H127" s="3" t="n"/>
    </row>
    <row r="128" ht="15.75" customHeight="1">
      <c r="A128" s="1" t="inlineStr">
        <is>
          <t>Marinth_Bay</t>
        </is>
      </c>
      <c r="B128" t="n">
        <v>74146</v>
      </c>
      <c r="C128" t="inlineStr">
        <is>
          <t xml:space="preserve">The Quantum Quasars  </t>
        </is>
      </c>
      <c r="D128" t="inlineStr">
        <is>
          <t xml:space="preserve">Reid Harmon  </t>
        </is>
      </c>
      <c r="E128" t="inlineStr">
        <is>
          <t xml:space="preserve">Skyview Ridge School  </t>
        </is>
      </c>
      <c r="F128" t="inlineStr">
        <is>
          <t>D2</t>
        </is>
      </c>
      <c r="G128" t="n">
        <v>9</v>
      </c>
      <c r="H128" s="3" t="n"/>
    </row>
    <row r="129" ht="15.75" customHeight="1">
      <c r="A129" s="1" t="inlineStr">
        <is>
          <t>Marinth_Bay</t>
        </is>
      </c>
      <c r="B129" t="n">
        <v>74400</v>
      </c>
      <c r="C129" t="inlineStr">
        <is>
          <t xml:space="preserve">The Nano Navigators  </t>
        </is>
      </c>
      <c r="D129" t="inlineStr">
        <is>
          <t xml:space="preserve">Gage Everett  </t>
        </is>
      </c>
      <c r="E129" t="inlineStr">
        <is>
          <t xml:space="preserve">Liberty Springs Academy  </t>
        </is>
      </c>
      <c r="F129" t="inlineStr">
        <is>
          <t>D2</t>
        </is>
      </c>
      <c r="G129" t="n">
        <v>5</v>
      </c>
      <c r="H129" s="3" t="n"/>
    </row>
    <row r="130" ht="15.75" customHeight="1">
      <c r="A130" s="1" t="inlineStr">
        <is>
          <t>Marinth_Bay</t>
        </is>
      </c>
      <c r="B130" t="n">
        <v>74449</v>
      </c>
      <c r="C130" t="inlineStr">
        <is>
          <t xml:space="preserve">The STEM Storm  </t>
        </is>
      </c>
      <c r="D130" t="inlineStr">
        <is>
          <t xml:space="preserve">Toby Chandler  </t>
        </is>
      </c>
      <c r="E130" t="inlineStr">
        <is>
          <t xml:space="preserve">Heritage Ridge School  </t>
        </is>
      </c>
      <c r="F130" t="inlineStr">
        <is>
          <t>D2</t>
        </is>
      </c>
      <c r="G130" t="n">
        <v>9</v>
      </c>
      <c r="H130" s="3" t="n"/>
    </row>
    <row r="131" ht="15.75" customHeight="1">
      <c r="A131" s="1" t="inlineStr">
        <is>
          <t>Marinth_Bay</t>
        </is>
      </c>
      <c r="B131" t="n">
        <v>74593</v>
      </c>
      <c r="C131" t="inlineStr">
        <is>
          <t xml:space="preserve">The Science Squad  </t>
        </is>
      </c>
      <c r="D131" t="inlineStr">
        <is>
          <t xml:space="preserve">Zeke Pierce  </t>
        </is>
      </c>
      <c r="E131" t="inlineStr">
        <is>
          <t xml:space="preserve">Pioneer Grove Academy  </t>
        </is>
      </c>
      <c r="F131" t="inlineStr">
        <is>
          <t>D2</t>
        </is>
      </c>
      <c r="G131" t="n">
        <v>3</v>
      </c>
      <c r="H131" s="3" t="n"/>
    </row>
    <row r="132" ht="15.75" customHeight="1">
      <c r="A132" s="1" t="inlineStr">
        <is>
          <t>Ironvale_Junction</t>
        </is>
      </c>
      <c r="B132" t="n">
        <v>9251</v>
      </c>
      <c r="C132" t="inlineStr">
        <is>
          <t xml:space="preserve">The Techno Tribe  </t>
        </is>
      </c>
      <c r="D132" t="inlineStr">
        <is>
          <t xml:space="preserve">Ari Rhodes  </t>
        </is>
      </c>
      <c r="E132" t="inlineStr">
        <is>
          <t xml:space="preserve">Aspen Valley School  </t>
        </is>
      </c>
      <c r="F132" t="inlineStr">
        <is>
          <t>D1</t>
        </is>
      </c>
      <c r="G132" t="n">
        <v>10</v>
      </c>
      <c r="H132" s="3" t="n"/>
    </row>
    <row r="133" ht="15.75" customHeight="1">
      <c r="A133" s="1" t="inlineStr">
        <is>
          <t>Ironvale_Junction</t>
        </is>
      </c>
      <c r="B133" t="n">
        <v>46456</v>
      </c>
      <c r="C133" t="inlineStr">
        <is>
          <t xml:space="preserve">The Data Dynamos  </t>
        </is>
      </c>
      <c r="D133" t="inlineStr">
        <is>
          <t xml:space="preserve">Eli Foster  </t>
        </is>
      </c>
      <c r="E133" t="inlineStr">
        <is>
          <t xml:space="preserve">Cedar Springs Academy  </t>
        </is>
      </c>
      <c r="F133" t="inlineStr">
        <is>
          <t>D1</t>
        </is>
      </c>
      <c r="G133" t="n">
        <v>4</v>
      </c>
      <c r="H133" s="3" t="n"/>
    </row>
    <row r="134" ht="15.75" customHeight="1">
      <c r="A134" s="1" t="inlineStr">
        <is>
          <t>Ironvale_Junction</t>
        </is>
      </c>
      <c r="B134" t="n">
        <v>46457</v>
      </c>
      <c r="C134" t="inlineStr">
        <is>
          <t xml:space="preserve">The Algorithm Alliance  </t>
        </is>
      </c>
      <c r="D134" t="inlineStr">
        <is>
          <t xml:space="preserve">Nico Maddox  </t>
        </is>
      </c>
      <c r="E134" t="inlineStr">
        <is>
          <t xml:space="preserve">Maple Grove Preparatory  </t>
        </is>
      </c>
      <c r="F134" t="inlineStr">
        <is>
          <t>D1</t>
        </is>
      </c>
      <c r="G134" t="n">
        <v>3</v>
      </c>
      <c r="H134" s="3" t="n"/>
    </row>
    <row r="135" ht="15.75" customHeight="1">
      <c r="A135" s="1" t="inlineStr">
        <is>
          <t>Ironvale_Junction</t>
        </is>
      </c>
      <c r="B135" t="n">
        <v>68948</v>
      </c>
      <c r="C135" t="inlineStr">
        <is>
          <t xml:space="preserve">The Quantum Crew  </t>
        </is>
      </c>
      <c r="D135" t="inlineStr">
        <is>
          <t xml:space="preserve">Rory Shaw  </t>
        </is>
      </c>
      <c r="E135" t="inlineStr">
        <is>
          <t xml:space="preserve">Rivercrest Academy  </t>
        </is>
      </c>
      <c r="F135" t="inlineStr">
        <is>
          <t>D1</t>
        </is>
      </c>
      <c r="G135" t="n">
        <v>4</v>
      </c>
      <c r="H135" s="3" t="n"/>
    </row>
    <row r="136" ht="15.75" customHeight="1">
      <c r="A136" s="1" t="inlineStr">
        <is>
          <t>Ironvale_Junction</t>
        </is>
      </c>
      <c r="B136" t="n">
        <v>71928</v>
      </c>
      <c r="C136" t="inlineStr">
        <is>
          <t xml:space="preserve">The Nano Ninjas  </t>
        </is>
      </c>
      <c r="D136" t="inlineStr">
        <is>
          <t xml:space="preserve">Kian Turner  </t>
        </is>
      </c>
      <c r="E136" t="inlineStr">
        <is>
          <t xml:space="preserve">Bright Ridge School  </t>
        </is>
      </c>
      <c r="F136" t="inlineStr">
        <is>
          <t>D1</t>
        </is>
      </c>
      <c r="G136" t="n">
        <v>8</v>
      </c>
      <c r="H136" s="3" t="n"/>
    </row>
    <row r="137" ht="15.75" customHeight="1">
      <c r="A137" s="1" t="inlineStr">
        <is>
          <t>Ironvale_Junction</t>
        </is>
      </c>
      <c r="B137" t="n">
        <v>72558</v>
      </c>
      <c r="C137" t="inlineStr">
        <is>
          <t xml:space="preserve">The STEMinators  </t>
        </is>
      </c>
      <c r="D137" t="inlineStr">
        <is>
          <t xml:space="preserve">Jett Mercer  </t>
        </is>
      </c>
      <c r="E137" t="inlineStr">
        <is>
          <t xml:space="preserve">Northcrest Academy  </t>
        </is>
      </c>
      <c r="F137" t="inlineStr">
        <is>
          <t>D1</t>
        </is>
      </c>
      <c r="G137" t="n">
        <v>6</v>
      </c>
      <c r="H137" s="3" t="n"/>
    </row>
    <row r="138" ht="15.75" customHeight="1">
      <c r="A138" s="1" t="inlineStr">
        <is>
          <t>Ironvale_Junction</t>
        </is>
      </c>
      <c r="B138" t="n">
        <v>74206</v>
      </c>
      <c r="C138" t="inlineStr">
        <is>
          <t xml:space="preserve">The Science Spartans  </t>
        </is>
      </c>
      <c r="D138" t="inlineStr">
        <is>
          <t xml:space="preserve">Bo Barrett  </t>
        </is>
      </c>
      <c r="E138" t="inlineStr">
        <is>
          <t xml:space="preserve">South Valley School  </t>
        </is>
      </c>
      <c r="F138" t="inlineStr">
        <is>
          <t>D1</t>
        </is>
      </c>
      <c r="G138" t="n">
        <v>8</v>
      </c>
      <c r="H138" s="3" t="n"/>
    </row>
    <row r="139" ht="15.75" customHeight="1">
      <c r="A139" s="1" t="inlineStr">
        <is>
          <t>Ironvale_Junction</t>
        </is>
      </c>
      <c r="B139" t="n">
        <v>41647</v>
      </c>
      <c r="C139" t="inlineStr">
        <is>
          <t xml:space="preserve">The Techno Thinkers  </t>
        </is>
      </c>
      <c r="D139" t="inlineStr">
        <is>
          <t xml:space="preserve">Cade Briggs  </t>
        </is>
      </c>
      <c r="E139" t="inlineStr">
        <is>
          <t xml:space="preserve">Eastbrook Ridge Academy  </t>
        </is>
      </c>
      <c r="F139" t="inlineStr">
        <is>
          <t>D2</t>
        </is>
      </c>
      <c r="G139" t="n">
        <v>7</v>
      </c>
      <c r="H139" s="3" t="n"/>
    </row>
    <row r="140" ht="15.75" customHeight="1">
      <c r="A140" s="1" t="inlineStr">
        <is>
          <t>Ironvale_Junction</t>
        </is>
      </c>
      <c r="B140" t="n">
        <v>41648</v>
      </c>
      <c r="C140" t="inlineStr">
        <is>
          <t xml:space="preserve">The Data Drivers  </t>
        </is>
      </c>
      <c r="D140" t="inlineStr">
        <is>
          <t xml:space="preserve">Ford Harlan  </t>
        </is>
      </c>
      <c r="E140" t="inlineStr">
        <is>
          <t xml:space="preserve">Westgate Preparatory  </t>
        </is>
      </c>
      <c r="F140" t="inlineStr">
        <is>
          <t>D2</t>
        </is>
      </c>
      <c r="G140" t="n">
        <v>10</v>
      </c>
      <c r="H140" s="3" t="n"/>
    </row>
    <row r="141" ht="15.75" customHeight="1">
      <c r="A141" s="1" t="inlineStr">
        <is>
          <t>Ironvale_Junction</t>
        </is>
      </c>
      <c r="B141" t="n">
        <v>44959</v>
      </c>
      <c r="C141" t="inlineStr">
        <is>
          <t xml:space="preserve">The Algorithm Avengers  </t>
        </is>
      </c>
      <c r="D141" t="inlineStr">
        <is>
          <t xml:space="preserve">Knox Everett  </t>
        </is>
      </c>
      <c r="E141" t="inlineStr">
        <is>
          <t xml:space="preserve">Hillbrook Academy  </t>
        </is>
      </c>
      <c r="F141" t="inlineStr">
        <is>
          <t>D2</t>
        </is>
      </c>
      <c r="G141" t="n">
        <v>6</v>
      </c>
      <c r="H141" s="3" t="n"/>
    </row>
    <row r="142" ht="15.75" customHeight="1">
      <c r="A142" s="1" t="inlineStr">
        <is>
          <t>Ironvale_Junction</t>
        </is>
      </c>
      <c r="B142" t="n">
        <v>46455</v>
      </c>
      <c r="C142" t="inlineStr">
        <is>
          <t xml:space="preserve">The Quantum Questers  </t>
        </is>
      </c>
      <c r="D142" t="inlineStr">
        <is>
          <t xml:space="preserve">Jace Chandler  </t>
        </is>
      </c>
      <c r="E142" t="inlineStr">
        <is>
          <t xml:space="preserve">Lighthouse Meadow School  </t>
        </is>
      </c>
      <c r="F142" t="inlineStr">
        <is>
          <t>D2</t>
        </is>
      </c>
      <c r="G142" t="n">
        <v>4</v>
      </c>
      <c r="H142" s="3" t="n"/>
    </row>
    <row r="143" ht="15.75" customHeight="1">
      <c r="A143" s="1" t="inlineStr">
        <is>
          <t>Ironvale_Junction</t>
        </is>
      </c>
      <c r="B143" t="n">
        <v>46458</v>
      </c>
      <c r="C143" t="inlineStr">
        <is>
          <t xml:space="preserve">The Nano Nomads  </t>
        </is>
      </c>
      <c r="D143" t="inlineStr">
        <is>
          <t xml:space="preserve">Blaine Pierce  </t>
        </is>
      </c>
      <c r="E143" t="inlineStr">
        <is>
          <t xml:space="preserve">Green Hills Academy  </t>
        </is>
      </c>
      <c r="F143" t="inlineStr">
        <is>
          <t>D2</t>
        </is>
      </c>
      <c r="G143" t="n">
        <v>4</v>
      </c>
      <c r="H143" s="3" t="n"/>
    </row>
    <row r="144" ht="15.75" customHeight="1">
      <c r="A144" s="1" t="inlineStr">
        <is>
          <t>Ironvale_Junction</t>
        </is>
      </c>
      <c r="B144" t="n">
        <v>60735</v>
      </c>
      <c r="C144" t="inlineStr">
        <is>
          <t xml:space="preserve">The STEM Stars  </t>
        </is>
      </c>
      <c r="D144" t="inlineStr">
        <is>
          <t xml:space="preserve">Cruz Rhodes  </t>
        </is>
      </c>
      <c r="E144" t="inlineStr">
        <is>
          <t xml:space="preserve">Lake Ridge Charter School  </t>
        </is>
      </c>
      <c r="F144" t="inlineStr">
        <is>
          <t>D2</t>
        </is>
      </c>
      <c r="G144" t="n">
        <v>5</v>
      </c>
      <c r="H144" s="3" t="n"/>
    </row>
    <row r="145" ht="15.75" customHeight="1">
      <c r="A145" s="1" t="inlineStr">
        <is>
          <t>Ironvale_Junction</t>
        </is>
      </c>
      <c r="B145" t="n">
        <v>61572</v>
      </c>
      <c r="C145" t="inlineStr">
        <is>
          <t xml:space="preserve">The Science Seekers  </t>
        </is>
      </c>
      <c r="D145" t="inlineStr">
        <is>
          <t xml:space="preserve">Dax Foster  </t>
        </is>
      </c>
      <c r="E145" t="inlineStr">
        <is>
          <t xml:space="preserve">Mountain Springs Academy  </t>
        </is>
      </c>
      <c r="F145" t="inlineStr">
        <is>
          <t>D2</t>
        </is>
      </c>
      <c r="G145" t="n">
        <v>4</v>
      </c>
      <c r="H145" s="3" t="n"/>
    </row>
    <row r="146" ht="15.75" customHeight="1">
      <c r="A146" s="1" t="inlineStr">
        <is>
          <t>Ironvale_Junction</t>
        </is>
      </c>
      <c r="B146" t="n">
        <v>65046</v>
      </c>
      <c r="C146" t="inlineStr">
        <is>
          <t xml:space="preserve">The Techno Trailblazers  </t>
        </is>
      </c>
      <c r="D146" t="inlineStr">
        <is>
          <t xml:space="preserve">Enzo Dalton  </t>
        </is>
      </c>
      <c r="E146" t="inlineStr">
        <is>
          <t xml:space="preserve">Willow Valley School  </t>
        </is>
      </c>
      <c r="F146" t="inlineStr">
        <is>
          <t>D2</t>
        </is>
      </c>
      <c r="G146" t="n">
        <v>4</v>
      </c>
      <c r="H146" s="3" t="n"/>
    </row>
    <row r="147" ht="15.75" customHeight="1">
      <c r="A147" s="1" t="inlineStr">
        <is>
          <t>Ironvale_Junction</t>
        </is>
      </c>
      <c r="B147" t="n">
        <v>67175</v>
      </c>
      <c r="C147" t="inlineStr">
        <is>
          <t xml:space="preserve">The Data Detectives  </t>
        </is>
      </c>
      <c r="D147" t="inlineStr">
        <is>
          <t xml:space="preserve">Hugh Harmon  </t>
        </is>
      </c>
      <c r="E147" t="inlineStr">
        <is>
          <t xml:space="preserve">Brookstone Academy  </t>
        </is>
      </c>
      <c r="F147" t="inlineStr">
        <is>
          <t>D2</t>
        </is>
      </c>
      <c r="G147" t="n">
        <v>10</v>
      </c>
      <c r="H147" s="3" t="n"/>
    </row>
    <row r="148" ht="15.75" customHeight="1">
      <c r="A148" s="1" t="inlineStr">
        <is>
          <t>Ironvale_Junction</t>
        </is>
      </c>
      <c r="B148" t="n">
        <v>70996</v>
      </c>
      <c r="C148" t="inlineStr">
        <is>
          <t xml:space="preserve">The Algorithm Architects  </t>
        </is>
      </c>
      <c r="D148" t="inlineStr">
        <is>
          <t xml:space="preserve">Ira Everett  </t>
        </is>
      </c>
      <c r="E148" t="inlineStr">
        <is>
          <t xml:space="preserve">Clearwater Ridge School  </t>
        </is>
      </c>
      <c r="F148" t="inlineStr">
        <is>
          <t>D2</t>
        </is>
      </c>
      <c r="G148" t="n">
        <v>4</v>
      </c>
      <c r="H148" s="3" t="n"/>
    </row>
    <row r="149" ht="15.75" customHeight="1">
      <c r="A149" s="1" t="inlineStr">
        <is>
          <t>Ironvale_Junction</t>
        </is>
      </c>
      <c r="B149" t="n">
        <v>71838</v>
      </c>
      <c r="C149" t="inlineStr">
        <is>
          <t xml:space="preserve">The Quantum Quarks  </t>
        </is>
      </c>
      <c r="D149" t="inlineStr">
        <is>
          <t xml:space="preserve">Jules Chandler  </t>
        </is>
      </c>
      <c r="E149" t="inlineStr">
        <is>
          <t xml:space="preserve">Evergreen Meadow Academy  </t>
        </is>
      </c>
      <c r="F149" t="inlineStr">
        <is>
          <t>D2</t>
        </is>
      </c>
      <c r="G149" t="n">
        <v>4</v>
      </c>
      <c r="H149" s="3" t="n"/>
    </row>
    <row r="150" ht="15.75" customHeight="1">
      <c r="A150" s="1" t="inlineStr">
        <is>
          <t>Ironvale_Junction</t>
        </is>
      </c>
      <c r="B150" t="n">
        <v>71927</v>
      </c>
      <c r="C150" t="inlineStr">
        <is>
          <t xml:space="preserve">The Nano Nerds  </t>
        </is>
      </c>
      <c r="D150" t="inlineStr">
        <is>
          <t xml:space="preserve">Kurt Pierce  </t>
        </is>
      </c>
      <c r="E150" t="inlineStr">
        <is>
          <t xml:space="preserve">Highland Valley School  </t>
        </is>
      </c>
      <c r="F150" t="inlineStr">
        <is>
          <t>D2</t>
        </is>
      </c>
      <c r="G150" t="n">
        <v>10</v>
      </c>
      <c r="H150" s="3" t="n"/>
    </row>
    <row r="151" ht="15.75" customHeight="1">
      <c r="A151" s="1" t="inlineStr">
        <is>
          <t>Ironvale_Junction</t>
        </is>
      </c>
      <c r="B151" t="n">
        <v>71929</v>
      </c>
      <c r="C151" t="inlineStr">
        <is>
          <t xml:space="preserve">The STEM Strikers  </t>
        </is>
      </c>
      <c r="D151" t="inlineStr">
        <is>
          <t xml:space="preserve">Levi Rhodes  </t>
        </is>
      </c>
      <c r="E151" t="inlineStr">
        <is>
          <t xml:space="preserve">Valley Grove Academy  </t>
        </is>
      </c>
      <c r="F151" t="inlineStr">
        <is>
          <t>D2</t>
        </is>
      </c>
      <c r="G151" t="n">
        <v>8</v>
      </c>
      <c r="H151" s="3" t="n"/>
    </row>
    <row r="152" ht="15.75" customHeight="1">
      <c r="A152" s="1" t="inlineStr">
        <is>
          <t>Ironvale_Junction</t>
        </is>
      </c>
      <c r="B152" t="n">
        <v>72774</v>
      </c>
      <c r="C152" t="inlineStr">
        <is>
          <t xml:space="preserve">Robo Raptors  </t>
        </is>
      </c>
      <c r="D152" t="inlineStr">
        <is>
          <t xml:space="preserve">Mack Foster  </t>
        </is>
      </c>
      <c r="E152" t="inlineStr">
        <is>
          <t xml:space="preserve">Sunrise Creek School  </t>
        </is>
      </c>
      <c r="F152" t="inlineStr">
        <is>
          <t>D2</t>
        </is>
      </c>
      <c r="G152" t="n">
        <v>4</v>
      </c>
      <c r="H152" s="3" t="n"/>
    </row>
    <row r="153" ht="15.75" customHeight="1">
      <c r="A153" s="1" t="inlineStr">
        <is>
          <t>Ironvale_Junction</t>
        </is>
      </c>
      <c r="B153" t="n">
        <v>74286</v>
      </c>
      <c r="C153" t="inlineStr">
        <is>
          <t xml:space="preserve">Cyber Sharks  </t>
        </is>
      </c>
      <c r="D153" t="inlineStr">
        <is>
          <t xml:space="preserve">Nash Maddox  </t>
        </is>
      </c>
      <c r="E153" t="inlineStr">
        <is>
          <t xml:space="preserve">Canyon Valley Academy  </t>
        </is>
      </c>
      <c r="F153" t="inlineStr">
        <is>
          <t>D2</t>
        </is>
      </c>
      <c r="G153" t="n">
        <v>5</v>
      </c>
      <c r="H153" s="3" t="n"/>
    </row>
    <row r="154" ht="15.75" customHeight="1">
      <c r="A154" s="1" t="inlineStr">
        <is>
          <t>Cinderbrook1</t>
        </is>
      </c>
      <c r="B154" t="n">
        <v>20485</v>
      </c>
      <c r="C154" t="inlineStr">
        <is>
          <t xml:space="preserve">Mecha Monkeys  </t>
        </is>
      </c>
      <c r="D154" t="inlineStr">
        <is>
          <t xml:space="preserve">Otis Shaw  </t>
        </is>
      </c>
      <c r="E154" t="inlineStr">
        <is>
          <t xml:space="preserve">Forest Meadow School  </t>
        </is>
      </c>
      <c r="F154" t="inlineStr">
        <is>
          <t>D1</t>
        </is>
      </c>
      <c r="G154" t="n">
        <v>8</v>
      </c>
      <c r="H154" s="3" t="n"/>
    </row>
    <row r="155" ht="15.75" customHeight="1">
      <c r="A155" s="1" t="inlineStr">
        <is>
          <t>Cinderbrook1</t>
        </is>
      </c>
      <c r="B155" t="n">
        <v>47296</v>
      </c>
      <c r="C155" t="inlineStr">
        <is>
          <t xml:space="preserve">Robo Rhinos  </t>
        </is>
      </c>
      <c r="D155" t="inlineStr">
        <is>
          <t xml:space="preserve">Pax Turner  </t>
        </is>
      </c>
      <c r="E155" t="inlineStr">
        <is>
          <t xml:space="preserve">Silver Ridge Academy  </t>
        </is>
      </c>
      <c r="F155" t="inlineStr">
        <is>
          <t>D1</t>
        </is>
      </c>
      <c r="G155" t="n">
        <v>10</v>
      </c>
      <c r="H155" s="3" t="n"/>
    </row>
    <row r="156" ht="15.75" customHeight="1">
      <c r="A156" s="1" t="inlineStr">
        <is>
          <t>Cinderbrook1</t>
        </is>
      </c>
      <c r="B156" t="n">
        <v>65785</v>
      </c>
      <c r="C156" t="inlineStr">
        <is>
          <t xml:space="preserve">Techno Tigers  </t>
        </is>
      </c>
      <c r="D156" t="inlineStr">
        <is>
          <t xml:space="preserve">Quaid Mercer  </t>
        </is>
      </c>
      <c r="E156" t="inlineStr">
        <is>
          <t xml:space="preserve">Twin Peaks School  </t>
        </is>
      </c>
      <c r="F156" t="inlineStr">
        <is>
          <t>D1</t>
        </is>
      </c>
      <c r="G156" t="n">
        <v>10</v>
      </c>
      <c r="H156" s="3" t="n"/>
    </row>
    <row r="157" ht="15.75" customHeight="1">
      <c r="A157" s="1" t="inlineStr">
        <is>
          <t>Cinderbrook1</t>
        </is>
      </c>
      <c r="B157" t="n">
        <v>68622</v>
      </c>
      <c r="C157" t="inlineStr">
        <is>
          <t xml:space="preserve">Byte Bison  </t>
        </is>
      </c>
      <c r="D157" t="inlineStr">
        <is>
          <t xml:space="preserve">Rhys Barrett  </t>
        </is>
      </c>
      <c r="E157" t="inlineStr">
        <is>
          <t xml:space="preserve">Meadowbrook Ridge Academy  </t>
        </is>
      </c>
      <c r="F157" t="inlineStr">
        <is>
          <t>D1</t>
        </is>
      </c>
      <c r="G157" t="n">
        <v>9</v>
      </c>
      <c r="H157" s="3" t="n"/>
    </row>
    <row r="158" ht="15.75" customHeight="1">
      <c r="A158" s="1" t="inlineStr">
        <is>
          <t>Cinderbrook1</t>
        </is>
      </c>
      <c r="B158" t="n">
        <v>69237</v>
      </c>
      <c r="C158" t="inlineStr">
        <is>
          <t xml:space="preserve">Circuit Cheetahs  </t>
        </is>
      </c>
      <c r="D158" t="inlineStr">
        <is>
          <t xml:space="preserve">Seth Briggs  </t>
        </is>
      </c>
      <c r="E158" t="inlineStr">
        <is>
          <t xml:space="preserve">Skyline Springs School  </t>
        </is>
      </c>
      <c r="F158" t="inlineStr">
        <is>
          <t>D1</t>
        </is>
      </c>
      <c r="G158" t="n">
        <v>4</v>
      </c>
      <c r="H158" s="3" t="n"/>
    </row>
    <row r="159" ht="15.75" customHeight="1">
      <c r="A159" s="1" t="inlineStr">
        <is>
          <t>Cinderbrook1</t>
        </is>
      </c>
      <c r="B159" t="n">
        <v>69569</v>
      </c>
      <c r="C159" t="inlineStr">
        <is>
          <t xml:space="preserve">Gear Gators  </t>
        </is>
      </c>
      <c r="D159" t="inlineStr">
        <is>
          <t xml:space="preserve">Tate Harlan  </t>
        </is>
      </c>
      <c r="E159" t="inlineStr">
        <is>
          <t xml:space="preserve">Liberty Ridge Preparatory  </t>
        </is>
      </c>
      <c r="F159" t="inlineStr">
        <is>
          <t>D1</t>
        </is>
      </c>
      <c r="G159" t="n">
        <v>7</v>
      </c>
      <c r="H159" s="3" t="n"/>
    </row>
    <row r="160" ht="15.75" customHeight="1">
      <c r="A160" s="1" t="inlineStr">
        <is>
          <t>Cinderbrook1</t>
        </is>
      </c>
      <c r="B160" t="n">
        <v>70467</v>
      </c>
      <c r="C160" t="inlineStr">
        <is>
          <t xml:space="preserve">Robo Ravens  </t>
        </is>
      </c>
      <c r="D160" t="inlineStr">
        <is>
          <t xml:space="preserve">Vaughn Everett  </t>
        </is>
      </c>
      <c r="E160" t="inlineStr">
        <is>
          <t xml:space="preserve">Heritage Meadow Academy  </t>
        </is>
      </c>
      <c r="F160" t="inlineStr">
        <is>
          <t>D1</t>
        </is>
      </c>
      <c r="G160" t="n">
        <v>9</v>
      </c>
      <c r="H160" s="3" t="n"/>
    </row>
    <row r="161" ht="15.75" customHeight="1">
      <c r="A161" s="1" t="inlineStr">
        <is>
          <t>Cinderbrook1</t>
        </is>
      </c>
      <c r="B161" t="n">
        <v>71202</v>
      </c>
      <c r="C161" t="inlineStr">
        <is>
          <t xml:space="preserve">Mech Moose  </t>
        </is>
      </c>
      <c r="D161" t="inlineStr">
        <is>
          <t xml:space="preserve">Wells Chandler  </t>
        </is>
      </c>
      <c r="E161" t="inlineStr">
        <is>
          <t xml:space="preserve">Pioneer Creek School  </t>
        </is>
      </c>
      <c r="F161" t="inlineStr">
        <is>
          <t>D1</t>
        </is>
      </c>
      <c r="G161" t="n">
        <v>10</v>
      </c>
      <c r="H161" s="3" t="n"/>
    </row>
    <row r="162" ht="15.75" customHeight="1">
      <c r="A162" s="1" t="inlineStr">
        <is>
          <t>Cinderbrook1</t>
        </is>
      </c>
      <c r="B162" t="n">
        <v>71434</v>
      </c>
      <c r="C162" t="inlineStr">
        <is>
          <t xml:space="preserve">Pixel Panthers  </t>
        </is>
      </c>
      <c r="D162" t="inlineStr">
        <is>
          <t xml:space="preserve">Yuri Pierce  </t>
        </is>
      </c>
      <c r="E162" t="inlineStr">
        <is>
          <t xml:space="preserve">Aspen Grove Academy  </t>
        </is>
      </c>
      <c r="F162" t="inlineStr">
        <is>
          <t>D1</t>
        </is>
      </c>
      <c r="G162" t="n">
        <v>7</v>
      </c>
      <c r="H162" s="3" t="n"/>
    </row>
    <row r="163" ht="15.75" customHeight="1">
      <c r="A163" s="1" t="inlineStr">
        <is>
          <t>Cinderbrook1</t>
        </is>
      </c>
      <c r="B163" t="n">
        <v>73912</v>
      </c>
      <c r="C163" t="inlineStr">
        <is>
          <t xml:space="preserve">Bot Bears  </t>
        </is>
      </c>
      <c r="D163" t="inlineStr">
        <is>
          <t xml:space="preserve">Zion Rhodes  </t>
        </is>
      </c>
      <c r="E163" t="inlineStr">
        <is>
          <t xml:space="preserve">Cedar Valley School  </t>
        </is>
      </c>
      <c r="F163" t="inlineStr">
        <is>
          <t>D1</t>
        </is>
      </c>
      <c r="G163" t="n">
        <v>7</v>
      </c>
      <c r="H163" s="3" t="n"/>
    </row>
    <row r="164" ht="15.75" customHeight="1">
      <c r="A164" s="1" t="inlineStr">
        <is>
          <t>Cinderbrook1</t>
        </is>
      </c>
      <c r="B164" t="n">
        <v>74458</v>
      </c>
      <c r="C164" t="inlineStr">
        <is>
          <t xml:space="preserve">Turbo Turtles  </t>
        </is>
      </c>
      <c r="D164" t="inlineStr">
        <is>
          <t xml:space="preserve">Alden Foster  </t>
        </is>
      </c>
      <c r="E164" t="inlineStr">
        <is>
          <t xml:space="preserve">Maple Springs Academy  </t>
        </is>
      </c>
      <c r="F164" t="inlineStr">
        <is>
          <t>D1</t>
        </is>
      </c>
      <c r="G164" t="n">
        <v>7</v>
      </c>
      <c r="H164" s="3" t="n"/>
    </row>
    <row r="165" ht="15.75" customHeight="1">
      <c r="A165" s="1" t="inlineStr">
        <is>
          <t>Cinderbrook2</t>
        </is>
      </c>
      <c r="B165" t="n">
        <v>203</v>
      </c>
      <c r="C165" t="inlineStr">
        <is>
          <t xml:space="preserve">Nano Narwhals  </t>
        </is>
      </c>
      <c r="D165" t="inlineStr">
        <is>
          <t xml:space="preserve">Barrett Dalton  </t>
        </is>
      </c>
      <c r="E165" t="inlineStr">
        <is>
          <t xml:space="preserve">Riverbrook School  </t>
        </is>
      </c>
      <c r="F165" t="inlineStr">
        <is>
          <t>D2</t>
        </is>
      </c>
      <c r="G165" t="n">
        <v>10</v>
      </c>
      <c r="H165" s="3" t="n"/>
    </row>
    <row r="166" ht="15.75" customHeight="1">
      <c r="A166" s="1" t="inlineStr">
        <is>
          <t>Cinderbrook2</t>
        </is>
      </c>
      <c r="B166" t="n">
        <v>37547</v>
      </c>
      <c r="C166" t="inlineStr">
        <is>
          <t xml:space="preserve">Robo Raccoons  </t>
        </is>
      </c>
      <c r="D166" t="inlineStr">
        <is>
          <t xml:space="preserve">Callan Harmon  </t>
        </is>
      </c>
      <c r="E166" t="inlineStr">
        <is>
          <t xml:space="preserve">Bright Creek Academy  </t>
        </is>
      </c>
      <c r="F166" t="inlineStr">
        <is>
          <t>D2</t>
        </is>
      </c>
      <c r="G166" t="n">
        <v>6</v>
      </c>
      <c r="H166" s="3" t="n"/>
    </row>
    <row r="167" ht="15.75" customHeight="1">
      <c r="A167" s="1" t="inlineStr">
        <is>
          <t>Cinderbrook2</t>
        </is>
      </c>
      <c r="B167" t="n">
        <v>55189</v>
      </c>
      <c r="C167" t="inlineStr">
        <is>
          <t xml:space="preserve">Mech Mantas  </t>
        </is>
      </c>
      <c r="D167" t="inlineStr">
        <is>
          <t xml:space="preserve">Dorian Everett  </t>
        </is>
      </c>
      <c r="E167" t="inlineStr">
        <is>
          <t xml:space="preserve">Northview Charter School  </t>
        </is>
      </c>
      <c r="F167" t="inlineStr">
        <is>
          <t>D2</t>
        </is>
      </c>
      <c r="G167" t="n">
        <v>4</v>
      </c>
      <c r="H167" s="3" t="n"/>
    </row>
    <row r="168" ht="15.75" customHeight="1">
      <c r="A168" s="1" t="inlineStr">
        <is>
          <t>Cinderbrook2</t>
        </is>
      </c>
      <c r="B168" t="n">
        <v>59535</v>
      </c>
      <c r="C168" t="inlineStr">
        <is>
          <t xml:space="preserve">Circuit Coyotes  </t>
        </is>
      </c>
      <c r="D168" t="inlineStr">
        <is>
          <t xml:space="preserve">Eamon Chandler  </t>
        </is>
      </c>
      <c r="E168" t="inlineStr">
        <is>
          <t xml:space="preserve">Southbrook Academy  </t>
        </is>
      </c>
      <c r="F168" t="inlineStr">
        <is>
          <t>D2</t>
        </is>
      </c>
      <c r="G168" t="n">
        <v>8</v>
      </c>
      <c r="H168" s="3" t="n"/>
    </row>
    <row r="169" ht="15.75" customHeight="1">
      <c r="A169" s="1" t="inlineStr">
        <is>
          <t>Cinderbrook2</t>
        </is>
      </c>
      <c r="B169" t="n">
        <v>61707</v>
      </c>
      <c r="C169" t="inlineStr">
        <is>
          <t xml:space="preserve">Gear Gorillas  </t>
        </is>
      </c>
      <c r="D169" t="inlineStr">
        <is>
          <t xml:space="preserve">Foster Pierce  </t>
        </is>
      </c>
      <c r="E169" t="inlineStr">
        <is>
          <t xml:space="preserve">Eastgate Preparatory  </t>
        </is>
      </c>
      <c r="F169" t="inlineStr">
        <is>
          <t>D2</t>
        </is>
      </c>
      <c r="G169" t="n">
        <v>2</v>
      </c>
      <c r="H169" s="3" t="n"/>
    </row>
    <row r="170" ht="15.75" customHeight="1">
      <c r="A170" s="1" t="inlineStr">
        <is>
          <t>Cinderbrook2</t>
        </is>
      </c>
      <c r="B170" t="n">
        <v>62309</v>
      </c>
      <c r="C170" t="inlineStr">
        <is>
          <t xml:space="preserve">Robo Rabbits  </t>
        </is>
      </c>
      <c r="D170" t="inlineStr">
        <is>
          <t xml:space="preserve">Gannon Rhodes  </t>
        </is>
      </c>
      <c r="E170" t="inlineStr">
        <is>
          <t xml:space="preserve">West Valley Academy  </t>
        </is>
      </c>
      <c r="F170" t="inlineStr">
        <is>
          <t>D2</t>
        </is>
      </c>
      <c r="G170" t="n">
        <v>6</v>
      </c>
      <c r="H170" s="3" t="n"/>
    </row>
    <row r="171" ht="15.75" customHeight="1">
      <c r="A171" s="1" t="inlineStr">
        <is>
          <t>Cinderbrook2</t>
        </is>
      </c>
      <c r="B171" t="n">
        <v>65135</v>
      </c>
      <c r="C171" t="inlineStr">
        <is>
          <t xml:space="preserve">Techno Toucans  </t>
        </is>
      </c>
      <c r="D171" t="inlineStr">
        <is>
          <t xml:space="preserve">Harvey Foster  </t>
        </is>
      </c>
      <c r="E171" t="inlineStr">
        <is>
          <t xml:space="preserve">Hillstone School  </t>
        </is>
      </c>
      <c r="F171" t="inlineStr">
        <is>
          <t>D2</t>
        </is>
      </c>
      <c r="G171" t="n">
        <v>6</v>
      </c>
      <c r="H171" s="3" t="n"/>
    </row>
    <row r="172" ht="15.75" customHeight="1">
      <c r="A172" s="1" t="inlineStr">
        <is>
          <t>Cinderbrook2</t>
        </is>
      </c>
      <c r="B172" t="n">
        <v>68064</v>
      </c>
      <c r="C172" t="inlineStr">
        <is>
          <t xml:space="preserve">Byte Badgers  </t>
        </is>
      </c>
      <c r="D172" t="inlineStr">
        <is>
          <t xml:space="preserve">Idris Maddox  </t>
        </is>
      </c>
      <c r="E172" t="inlineStr">
        <is>
          <t xml:space="preserve">Lighthouse Ridge Academy  </t>
        </is>
      </c>
      <c r="F172" t="inlineStr">
        <is>
          <t>D2</t>
        </is>
      </c>
      <c r="G172" t="n">
        <v>10</v>
      </c>
      <c r="H172" s="3" t="n"/>
    </row>
    <row r="173" ht="15.75" customHeight="1">
      <c r="A173" s="1" t="inlineStr">
        <is>
          <t>Cinderbrook2</t>
        </is>
      </c>
      <c r="B173" t="n">
        <v>68236</v>
      </c>
      <c r="C173" t="inlineStr">
        <is>
          <t xml:space="preserve">Mech Macaws  </t>
        </is>
      </c>
      <c r="D173" t="inlineStr">
        <is>
          <t xml:space="preserve">Jensen Shaw  </t>
        </is>
      </c>
      <c r="E173" t="inlineStr">
        <is>
          <t xml:space="preserve">Greenfield Springs School  </t>
        </is>
      </c>
      <c r="F173" t="inlineStr">
        <is>
          <t>D2</t>
        </is>
      </c>
      <c r="G173" t="n">
        <v>10</v>
      </c>
      <c r="H173" s="3" t="n"/>
    </row>
    <row r="174" ht="15.75" customHeight="1">
      <c r="A174" s="1" t="inlineStr">
        <is>
          <t>Cinderbrook2</t>
        </is>
      </c>
      <c r="B174" t="n">
        <v>68395</v>
      </c>
      <c r="C174" t="inlineStr">
        <is>
          <t xml:space="preserve">Robo Reindeer  </t>
        </is>
      </c>
      <c r="D174" t="inlineStr">
        <is>
          <t xml:space="preserve">Keaton Turner  </t>
        </is>
      </c>
      <c r="E174" t="inlineStr">
        <is>
          <t xml:space="preserve">Lakewood Ridge Academy  </t>
        </is>
      </c>
      <c r="F174" t="inlineStr">
        <is>
          <t>D2</t>
        </is>
      </c>
      <c r="G174" t="n">
        <v>10</v>
      </c>
      <c r="H174" s="3" t="n"/>
    </row>
    <row r="175" ht="15.75" customHeight="1">
      <c r="A175" s="1" t="inlineStr">
        <is>
          <t>Cinderbrook2</t>
        </is>
      </c>
      <c r="B175" t="n">
        <v>71353</v>
      </c>
      <c r="C175" t="inlineStr">
        <is>
          <t xml:space="preserve">Circuit Crabs  </t>
        </is>
      </c>
      <c r="D175" t="inlineStr">
        <is>
          <t xml:space="preserve">Landon Mercer  </t>
        </is>
      </c>
      <c r="E175" t="inlineStr">
        <is>
          <t xml:space="preserve">Mountain Ridge Preparatory  </t>
        </is>
      </c>
      <c r="F175" t="inlineStr">
        <is>
          <t>D2</t>
        </is>
      </c>
      <c r="G175" t="n">
        <v>8</v>
      </c>
      <c r="H175" s="3" t="n"/>
    </row>
    <row r="176" ht="15.75" customHeight="1">
      <c r="A176" s="1" t="inlineStr">
        <is>
          <t>Cinderbrook2</t>
        </is>
      </c>
      <c r="B176" t="n">
        <v>74481</v>
      </c>
      <c r="C176" t="inlineStr">
        <is>
          <t xml:space="preserve">Gear Geckos  </t>
        </is>
      </c>
      <c r="D176" t="inlineStr">
        <is>
          <t xml:space="preserve">Merritt Barrett  </t>
        </is>
      </c>
      <c r="E176" t="inlineStr">
        <is>
          <t xml:space="preserve">Willow Springs Academy  </t>
        </is>
      </c>
      <c r="F176" t="inlineStr">
        <is>
          <t>D2</t>
        </is>
      </c>
      <c r="G176" t="n">
        <v>7</v>
      </c>
      <c r="H176" s="3" t="n"/>
    </row>
    <row r="177" ht="15.75" customHeight="1">
      <c r="A177" s="1" t="inlineStr">
        <is>
          <t>Cinderbrook2</t>
        </is>
      </c>
      <c r="B177" t="n">
        <v>74576</v>
      </c>
      <c r="C177" t="inlineStr">
        <is>
          <t xml:space="preserve">Robo Roosters  </t>
        </is>
      </c>
      <c r="D177" t="inlineStr">
        <is>
          <t xml:space="preserve">Nolan Briggs  </t>
        </is>
      </c>
      <c r="E177" t="inlineStr">
        <is>
          <t xml:space="preserve">Brookview School  </t>
        </is>
      </c>
      <c r="F177" t="inlineStr">
        <is>
          <t>D2</t>
        </is>
      </c>
      <c r="G177" t="n">
        <v>5</v>
      </c>
      <c r="H177" s="3" t="n"/>
    </row>
    <row r="178" ht="15.75" customHeight="1">
      <c r="A178" s="1" t="inlineStr">
        <is>
          <t>Velastra_Heights</t>
        </is>
      </c>
      <c r="B178" t="n">
        <v>1840</v>
      </c>
      <c r="C178" t="inlineStr">
        <is>
          <t xml:space="preserve">Mech Magpies  </t>
        </is>
      </c>
      <c r="D178" t="inlineStr">
        <is>
          <t xml:space="preserve">Orson Harlan  </t>
        </is>
      </c>
      <c r="E178" t="inlineStr">
        <is>
          <t xml:space="preserve">Clearview Ridge Academy  </t>
        </is>
      </c>
      <c r="F178" t="inlineStr">
        <is>
          <t>D1</t>
        </is>
      </c>
      <c r="G178" t="n">
        <v>7</v>
      </c>
      <c r="H178" s="3" t="n"/>
    </row>
    <row r="179" ht="15.75" customHeight="1">
      <c r="A179" s="1" t="inlineStr">
        <is>
          <t>Velastra_Heights</t>
        </is>
      </c>
      <c r="B179" t="n">
        <v>46953</v>
      </c>
      <c r="C179" t="inlineStr">
        <is>
          <t xml:space="preserve">Pixel Pythons  </t>
        </is>
      </c>
      <c r="D179" t="inlineStr">
        <is>
          <t xml:space="preserve">Porter Everett  </t>
        </is>
      </c>
      <c r="E179" t="inlineStr">
        <is>
          <t xml:space="preserve">Evergreen Springs School  </t>
        </is>
      </c>
      <c r="F179" t="inlineStr">
        <is>
          <t>D1</t>
        </is>
      </c>
      <c r="G179" t="n">
        <v>7</v>
      </c>
      <c r="H179" s="3" t="n"/>
    </row>
    <row r="180" ht="15.75" customHeight="1">
      <c r="A180" s="1" t="inlineStr">
        <is>
          <t>Velastra_Heights</t>
        </is>
      </c>
      <c r="B180" t="n">
        <v>55753</v>
      </c>
      <c r="C180" t="inlineStr">
        <is>
          <t xml:space="preserve">Bot Buffalo  </t>
        </is>
      </c>
      <c r="D180" t="inlineStr">
        <is>
          <t xml:space="preserve">Quentin Chandler  </t>
        </is>
      </c>
      <c r="E180" t="inlineStr">
        <is>
          <t xml:space="preserve">Highland Meadow Academy  </t>
        </is>
      </c>
      <c r="F180" t="inlineStr">
        <is>
          <t>D1</t>
        </is>
      </c>
      <c r="G180" t="n">
        <v>7</v>
      </c>
      <c r="H180" s="3" t="n"/>
    </row>
    <row r="181" ht="15.75" customHeight="1">
      <c r="A181" s="1" t="inlineStr">
        <is>
          <t>Velastra_Heights</t>
        </is>
      </c>
      <c r="B181" t="n">
        <v>61183</v>
      </c>
      <c r="C181" t="inlineStr">
        <is>
          <t xml:space="preserve">Turbo Tarantulas  </t>
        </is>
      </c>
      <c r="D181" t="inlineStr">
        <is>
          <t xml:space="preserve">Ronan Pierce  </t>
        </is>
      </c>
      <c r="E181" t="inlineStr">
        <is>
          <t xml:space="preserve">Valley Brook School  </t>
        </is>
      </c>
      <c r="F181" t="inlineStr">
        <is>
          <t>D1</t>
        </is>
      </c>
      <c r="G181" t="n">
        <v>9</v>
      </c>
      <c r="H181" s="3" t="n"/>
    </row>
    <row r="182" ht="15.75" customHeight="1">
      <c r="A182" s="1" t="inlineStr">
        <is>
          <t>Velastra_Heights</t>
        </is>
      </c>
      <c r="B182" t="n">
        <v>70607</v>
      </c>
      <c r="C182" t="inlineStr">
        <is>
          <t xml:space="preserve">Nano Newts  </t>
        </is>
      </c>
      <c r="D182" t="inlineStr">
        <is>
          <t xml:space="preserve">Stellan Rhodes  </t>
        </is>
      </c>
      <c r="E182" t="inlineStr">
        <is>
          <t xml:space="preserve">Sunset Grove Academy  </t>
        </is>
      </c>
      <c r="F182" t="inlineStr">
        <is>
          <t>D1</t>
        </is>
      </c>
      <c r="G182" t="n">
        <v>8</v>
      </c>
      <c r="H182" s="3" t="n"/>
    </row>
    <row r="183" ht="15.75" customHeight="1">
      <c r="A183" s="1" t="inlineStr">
        <is>
          <t>Velastra_Heights</t>
        </is>
      </c>
      <c r="B183" t="n">
        <v>70609</v>
      </c>
      <c r="C183" t="inlineStr">
        <is>
          <t xml:space="preserve">Robo Rams  </t>
        </is>
      </c>
      <c r="D183" t="inlineStr">
        <is>
          <t xml:space="preserve">Thatcher Foster  </t>
        </is>
      </c>
      <c r="E183" t="inlineStr">
        <is>
          <t xml:space="preserve">Canyon Ridge Preparatory  </t>
        </is>
      </c>
      <c r="F183" t="inlineStr">
        <is>
          <t>D1</t>
        </is>
      </c>
      <c r="G183" t="n">
        <v>5</v>
      </c>
      <c r="H183" s="3" t="n"/>
    </row>
    <row r="184" ht="15.75" customHeight="1">
      <c r="A184" s="1" t="inlineStr">
        <is>
          <t>Velastra_Heights</t>
        </is>
      </c>
      <c r="B184" t="n">
        <v>71991</v>
      </c>
      <c r="C184" t="inlineStr">
        <is>
          <t xml:space="preserve">Mech Mice  </t>
        </is>
      </c>
      <c r="D184" t="inlineStr">
        <is>
          <t xml:space="preserve">Ulric Dalton  </t>
        </is>
      </c>
      <c r="E184" t="inlineStr">
        <is>
          <t xml:space="preserve">Forest Valley School  </t>
        </is>
      </c>
      <c r="F184" t="inlineStr">
        <is>
          <t>D1</t>
        </is>
      </c>
      <c r="G184" t="n">
        <v>7</v>
      </c>
      <c r="H184" s="3" t="n"/>
    </row>
    <row r="185" ht="15.75" customHeight="1">
      <c r="A185" s="1" t="inlineStr">
        <is>
          <t>Velastra_Heights</t>
        </is>
      </c>
      <c r="B185" t="n">
        <v>72504</v>
      </c>
      <c r="C185" t="inlineStr">
        <is>
          <t xml:space="preserve">Circuit Camels  </t>
        </is>
      </c>
      <c r="D185" t="inlineStr">
        <is>
          <t xml:space="preserve">Vernon Harmon  </t>
        </is>
      </c>
      <c r="E185" t="inlineStr">
        <is>
          <t xml:space="preserve">Silver Springs Academy  </t>
        </is>
      </c>
      <c r="F185" t="inlineStr">
        <is>
          <t>D1</t>
        </is>
      </c>
      <c r="G185" t="n">
        <v>7</v>
      </c>
      <c r="H185" s="3" t="n"/>
    </row>
    <row r="186" ht="15.75" customHeight="1">
      <c r="A186" s="1" t="inlineStr">
        <is>
          <t>Velastra_Heights</t>
        </is>
      </c>
      <c r="B186" t="n">
        <v>72528</v>
      </c>
      <c r="C186" t="inlineStr">
        <is>
          <t xml:space="preserve">Gear Gazelles  </t>
        </is>
      </c>
      <c r="D186" t="inlineStr">
        <is>
          <t xml:space="preserve">Wilder Everett  </t>
        </is>
      </c>
      <c r="E186" t="inlineStr">
        <is>
          <t xml:space="preserve">Twin Lakes Ridge School  </t>
        </is>
      </c>
      <c r="F186" t="inlineStr">
        <is>
          <t>D1</t>
        </is>
      </c>
      <c r="G186" t="n">
        <v>10</v>
      </c>
      <c r="H186" s="3" t="n"/>
    </row>
    <row r="187" ht="15.75" customHeight="1">
      <c r="A187" s="1" t="inlineStr">
        <is>
          <t>Velastra_Heights</t>
        </is>
      </c>
      <c r="B187" t="n">
        <v>25784</v>
      </c>
      <c r="C187" t="inlineStr">
        <is>
          <t xml:space="preserve">Robo Red Pandas  </t>
        </is>
      </c>
      <c r="D187" t="inlineStr">
        <is>
          <t xml:space="preserve">Xander Chandler  </t>
        </is>
      </c>
      <c r="E187" t="inlineStr">
        <is>
          <t xml:space="preserve">Meadow Valley Academy  </t>
        </is>
      </c>
      <c r="F187" t="inlineStr">
        <is>
          <t>D2</t>
        </is>
      </c>
      <c r="G187" t="n">
        <v>10</v>
      </c>
      <c r="H187" s="3" t="n"/>
    </row>
    <row r="188" ht="15.75" customHeight="1">
      <c r="A188" s="1" t="inlineStr">
        <is>
          <t>Velastra_Heights</t>
        </is>
      </c>
      <c r="B188" t="n">
        <v>31135</v>
      </c>
      <c r="C188" t="inlineStr">
        <is>
          <t xml:space="preserve">Techno Turtles  </t>
        </is>
      </c>
      <c r="D188" t="inlineStr">
        <is>
          <t xml:space="preserve">Yates Pierce  </t>
        </is>
      </c>
      <c r="E188" t="inlineStr">
        <is>
          <t xml:space="preserve">Skycrest School  </t>
        </is>
      </c>
      <c r="F188" t="inlineStr">
        <is>
          <t>D2</t>
        </is>
      </c>
      <c r="G188" t="n">
        <v>9</v>
      </c>
      <c r="H188" s="3" t="n"/>
    </row>
    <row r="189" ht="15.75" customHeight="1">
      <c r="A189" s="1" t="inlineStr">
        <is>
          <t>Velastra_Heights</t>
        </is>
      </c>
      <c r="B189" t="n">
        <v>31587</v>
      </c>
      <c r="C189" t="inlineStr">
        <is>
          <t xml:space="preserve">Byte Bobcats  </t>
        </is>
      </c>
      <c r="D189" t="inlineStr">
        <is>
          <t xml:space="preserve">Zeke Rhodes  </t>
        </is>
      </c>
      <c r="E189" t="inlineStr">
        <is>
          <t xml:space="preserve">Liberty Creek Academy  </t>
        </is>
      </c>
      <c r="F189" t="inlineStr">
        <is>
          <t>D2</t>
        </is>
      </c>
      <c r="G189" t="n">
        <v>10</v>
      </c>
      <c r="H189" s="3" t="n"/>
    </row>
    <row r="190" ht="15.75" customHeight="1">
      <c r="A190" s="1" t="inlineStr">
        <is>
          <t>Velastra_Heights</t>
        </is>
      </c>
      <c r="B190" t="n">
        <v>40305</v>
      </c>
      <c r="C190" t="inlineStr">
        <is>
          <t xml:space="preserve">Mech Mallards  </t>
        </is>
      </c>
      <c r="D190" t="inlineStr">
        <is>
          <t xml:space="preserve">Alec Foster  </t>
        </is>
      </c>
      <c r="E190" t="inlineStr">
        <is>
          <t xml:space="preserve">Heritage Springs Preparatory  </t>
        </is>
      </c>
      <c r="F190" t="inlineStr">
        <is>
          <t>D2</t>
        </is>
      </c>
      <c r="G190" t="n">
        <v>10</v>
      </c>
      <c r="H190" s="3" t="n"/>
    </row>
    <row r="191" ht="15.75" customHeight="1">
      <c r="A191" s="1" t="inlineStr">
        <is>
          <t>Velastra_Heights</t>
        </is>
      </c>
      <c r="B191" t="n">
        <v>53732</v>
      </c>
      <c r="C191" t="inlineStr">
        <is>
          <t xml:space="preserve">Robo Roadrunners  </t>
        </is>
      </c>
      <c r="D191" t="inlineStr">
        <is>
          <t xml:space="preserve">Benson Maddox  </t>
        </is>
      </c>
      <c r="E191" t="inlineStr">
        <is>
          <t xml:space="preserve">Pioneer Ridge School  </t>
        </is>
      </c>
      <c r="F191" t="inlineStr">
        <is>
          <t>D2</t>
        </is>
      </c>
      <c r="G191" t="n">
        <v>8</v>
      </c>
      <c r="H191" s="3" t="n"/>
    </row>
    <row r="192" ht="15.75" customHeight="1">
      <c r="A192" s="1" t="inlineStr">
        <is>
          <t>Velastra_Heights</t>
        </is>
      </c>
      <c r="B192" t="n">
        <v>58085</v>
      </c>
      <c r="C192" t="inlineStr">
        <is>
          <t xml:space="preserve">Turbo Techs  </t>
        </is>
      </c>
      <c r="D192" t="inlineStr">
        <is>
          <t xml:space="preserve">Crosby Shaw  </t>
        </is>
      </c>
      <c r="E192" t="inlineStr">
        <is>
          <t xml:space="preserve">Aspen Meadow Academy  </t>
        </is>
      </c>
      <c r="F192" t="inlineStr">
        <is>
          <t>D2</t>
        </is>
      </c>
      <c r="G192" t="n">
        <v>10</v>
      </c>
      <c r="H192" s="3" t="n"/>
    </row>
    <row r="193" ht="15.75" customHeight="1">
      <c r="A193" s="1" t="inlineStr">
        <is>
          <t>Velastra_Heights</t>
        </is>
      </c>
      <c r="B193" t="n">
        <v>60386</v>
      </c>
      <c r="C193" t="inlineStr">
        <is>
          <t xml:space="preserve">Lightning Bots  </t>
        </is>
      </c>
      <c r="D193" t="inlineStr">
        <is>
          <t xml:space="preserve">Darian Turner  </t>
        </is>
      </c>
      <c r="E193" t="inlineStr">
        <is>
          <t xml:space="preserve">Cedar Ridge Charter School  </t>
        </is>
      </c>
      <c r="F193" t="inlineStr">
        <is>
          <t>D2</t>
        </is>
      </c>
      <c r="G193" t="n">
        <v>6</v>
      </c>
      <c r="H193" s="3" t="n"/>
    </row>
    <row r="194" ht="15.75" customHeight="1">
      <c r="A194" s="1" t="inlineStr">
        <is>
          <t>Velastra_Heights</t>
        </is>
      </c>
      <c r="B194" t="n">
        <v>63325</v>
      </c>
      <c r="C194" t="inlineStr">
        <is>
          <t xml:space="preserve">Velocity Vipers  </t>
        </is>
      </c>
      <c r="D194" t="inlineStr">
        <is>
          <t xml:space="preserve">Ellis Mercer  </t>
        </is>
      </c>
      <c r="E194" t="inlineStr">
        <is>
          <t xml:space="preserve">Maple Valley Academy  </t>
        </is>
      </c>
      <c r="F194" t="inlineStr">
        <is>
          <t>D2</t>
        </is>
      </c>
      <c r="G194" t="n">
        <v>5</v>
      </c>
      <c r="H194" s="3" t="n"/>
    </row>
    <row r="195" ht="15.75" customHeight="1">
      <c r="A195" s="1" t="inlineStr">
        <is>
          <t>Velastra_Heights</t>
        </is>
      </c>
      <c r="B195" t="n">
        <v>63327</v>
      </c>
      <c r="C195" t="inlineStr">
        <is>
          <t xml:space="preserve">Speedy Circuits  </t>
        </is>
      </c>
      <c r="D195" t="inlineStr">
        <is>
          <t xml:space="preserve">Fletcher Barrett  </t>
        </is>
      </c>
      <c r="E195" t="inlineStr">
        <is>
          <t xml:space="preserve">River Springs School  </t>
        </is>
      </c>
      <c r="F195" t="inlineStr">
        <is>
          <t>D2</t>
        </is>
      </c>
      <c r="G195" t="n">
        <v>4</v>
      </c>
      <c r="H195" s="3" t="n"/>
    </row>
    <row r="196" ht="15.75" customHeight="1">
      <c r="A196" s="1" t="inlineStr">
        <is>
          <t>Velastra_Heights</t>
        </is>
      </c>
      <c r="B196" t="n">
        <v>64912</v>
      </c>
      <c r="C196" t="inlineStr">
        <is>
          <t xml:space="preserve">Power Pixels  </t>
        </is>
      </c>
      <c r="D196" t="inlineStr">
        <is>
          <t xml:space="preserve">Grady Briggs  </t>
        </is>
      </c>
      <c r="E196" t="inlineStr">
        <is>
          <t xml:space="preserve">Bright Valley Academy  </t>
        </is>
      </c>
      <c r="F196" t="inlineStr">
        <is>
          <t>D2</t>
        </is>
      </c>
      <c r="G196" t="n">
        <v>10</v>
      </c>
      <c r="H196" s="3" t="n"/>
    </row>
    <row r="197" ht="15.75" customHeight="1">
      <c r="A197" s="1" t="inlineStr">
        <is>
          <t>Velastra_Heights</t>
        </is>
      </c>
      <c r="B197" t="n">
        <v>66016</v>
      </c>
      <c r="C197" t="inlineStr">
        <is>
          <t xml:space="preserve">Rapid Robotics  </t>
        </is>
      </c>
      <c r="D197" t="inlineStr">
        <is>
          <t xml:space="preserve">Harlan Everett  </t>
        </is>
      </c>
      <c r="E197" t="inlineStr">
        <is>
          <t xml:space="preserve">North Hills School  </t>
        </is>
      </c>
      <c r="F197" t="inlineStr">
        <is>
          <t>D2</t>
        </is>
      </c>
      <c r="G197" t="n">
        <v>4</v>
      </c>
      <c r="H197" s="3" t="n"/>
    </row>
    <row r="198" ht="15.75" customHeight="1">
      <c r="A198" s="1" t="inlineStr">
        <is>
          <t>Velastra_Heights</t>
        </is>
      </c>
      <c r="B198" t="n">
        <v>66242</v>
      </c>
      <c r="C198" t="inlineStr">
        <is>
          <t xml:space="preserve">Thunder Tinkerers  </t>
        </is>
      </c>
      <c r="D198" t="inlineStr">
        <is>
          <t xml:space="preserve">Irving Chandler  </t>
        </is>
      </c>
      <c r="E198" t="inlineStr">
        <is>
          <t xml:space="preserve">Southview Academy  </t>
        </is>
      </c>
      <c r="F198" t="inlineStr">
        <is>
          <t>D2</t>
        </is>
      </c>
      <c r="G198" t="n">
        <v>4</v>
      </c>
      <c r="H198" s="3" t="n"/>
    </row>
    <row r="199" ht="15.75" customHeight="1">
      <c r="A199" s="1" t="inlineStr">
        <is>
          <t>Velastra_Heights</t>
        </is>
      </c>
      <c r="B199" t="n">
        <v>67169</v>
      </c>
      <c r="C199" t="inlineStr">
        <is>
          <t xml:space="preserve">Sonic Sprockets  </t>
        </is>
      </c>
      <c r="D199" t="inlineStr">
        <is>
          <t xml:space="preserve">Jasper Pierce  </t>
        </is>
      </c>
      <c r="E199" t="inlineStr">
        <is>
          <t xml:space="preserve">Eastwood Ridge School  </t>
        </is>
      </c>
      <c r="F199" t="inlineStr">
        <is>
          <t>D2</t>
        </is>
      </c>
      <c r="G199" t="n">
        <v>2</v>
      </c>
      <c r="H199" s="3" t="n"/>
    </row>
    <row r="200" ht="15.75" customHeight="1">
      <c r="A200" s="1" t="inlineStr">
        <is>
          <t>Velastra_Heights</t>
        </is>
      </c>
      <c r="B200" t="n">
        <v>71532</v>
      </c>
      <c r="C200" t="inlineStr">
        <is>
          <t xml:space="preserve">Hyper Hackers  </t>
        </is>
      </c>
      <c r="D200" t="inlineStr">
        <is>
          <t xml:space="preserve">Kieran Rhodes  </t>
        </is>
      </c>
      <c r="E200" t="inlineStr">
        <is>
          <t xml:space="preserve">Westbrook Ridge Academy  </t>
        </is>
      </c>
      <c r="F200" t="inlineStr">
        <is>
          <t>D2</t>
        </is>
      </c>
      <c r="G200" t="n">
        <v>5</v>
      </c>
      <c r="H200" s="3" t="n"/>
    </row>
    <row r="201" ht="15.75" customHeight="1">
      <c r="A201" s="1" t="inlineStr">
        <is>
          <t>Velastra_Heights</t>
        </is>
      </c>
      <c r="B201" t="n">
        <v>72306</v>
      </c>
      <c r="C201" t="inlineStr">
        <is>
          <t xml:space="preserve">Momentum Makers  </t>
        </is>
      </c>
      <c r="D201" t="inlineStr">
        <is>
          <t xml:space="preserve">Lyle Foster  </t>
        </is>
      </c>
      <c r="E201" t="inlineStr">
        <is>
          <t xml:space="preserve">Hillcrest Ridge School  </t>
        </is>
      </c>
      <c r="F201" t="inlineStr">
        <is>
          <t>D2</t>
        </is>
      </c>
      <c r="G201" t="n">
        <v>2</v>
      </c>
      <c r="H201" s="3" t="n"/>
    </row>
    <row r="202" ht="15.75" customHeight="1">
      <c r="A202" s="1" t="inlineStr">
        <is>
          <t>Port_Halcyon</t>
        </is>
      </c>
      <c r="B202" t="n">
        <v>103</v>
      </c>
      <c r="C202" t="inlineStr">
        <is>
          <t xml:space="preserve">Turbo Tinkerers  </t>
        </is>
      </c>
      <c r="D202" t="inlineStr">
        <is>
          <t xml:space="preserve">Madden Dalton  </t>
        </is>
      </c>
      <c r="E202" t="inlineStr">
        <is>
          <t xml:space="preserve">Lighthouse Valley Academy  </t>
        </is>
      </c>
      <c r="F202" t="inlineStr">
        <is>
          <t>D1</t>
        </is>
      </c>
      <c r="G202" t="n">
        <v>7</v>
      </c>
      <c r="H202" s="3" t="n"/>
    </row>
    <row r="203" ht="15.75" customHeight="1">
      <c r="A203" s="1" t="inlineStr">
        <is>
          <t>Port_Halcyon</t>
        </is>
      </c>
      <c r="B203" t="n">
        <v>53240</v>
      </c>
      <c r="C203" t="inlineStr">
        <is>
          <t xml:space="preserve">Lightning Logic  </t>
        </is>
      </c>
      <c r="D203" t="inlineStr">
        <is>
          <t xml:space="preserve">Nico Harmon  </t>
        </is>
      </c>
      <c r="E203" t="inlineStr">
        <is>
          <t xml:space="preserve">Greenwood Springs School  </t>
        </is>
      </c>
      <c r="F203" t="inlineStr">
        <is>
          <t>D1</t>
        </is>
      </c>
      <c r="G203" t="n">
        <v>4</v>
      </c>
      <c r="H203" s="3" t="n"/>
    </row>
    <row r="204" ht="15.75" customHeight="1">
      <c r="A204" s="1" t="inlineStr">
        <is>
          <t>Port_Halcyon</t>
        </is>
      </c>
      <c r="B204" t="n">
        <v>54927</v>
      </c>
      <c r="C204" t="inlineStr">
        <is>
          <t xml:space="preserve">Velocity Voyagers  </t>
        </is>
      </c>
      <c r="D204" t="inlineStr">
        <is>
          <t xml:space="preserve">Orin Everett  </t>
        </is>
      </c>
      <c r="E204" t="inlineStr">
        <is>
          <t xml:space="preserve">Lakeview Ridge Academy  </t>
        </is>
      </c>
      <c r="F204" t="inlineStr">
        <is>
          <t>D1</t>
        </is>
      </c>
      <c r="G204" t="n">
        <v>5</v>
      </c>
      <c r="H204" s="3" t="n"/>
    </row>
    <row r="205" ht="15.75" customHeight="1">
      <c r="A205" s="1" t="inlineStr">
        <is>
          <t>Port_Halcyon</t>
        </is>
      </c>
      <c r="B205" t="n">
        <v>60293</v>
      </c>
      <c r="C205" t="inlineStr">
        <is>
          <t xml:space="preserve">Speedy Sprockets  </t>
        </is>
      </c>
      <c r="D205" t="inlineStr">
        <is>
          <t xml:space="preserve">Parker Chandler  </t>
        </is>
      </c>
      <c r="E205" t="inlineStr">
        <is>
          <t xml:space="preserve">Mountain Grove School  </t>
        </is>
      </c>
      <c r="F205" t="inlineStr">
        <is>
          <t>D1</t>
        </is>
      </c>
      <c r="G205" t="n">
        <v>10</v>
      </c>
      <c r="H205" s="3" t="n"/>
    </row>
    <row r="206" ht="15.75" customHeight="1">
      <c r="A206" s="1" t="inlineStr">
        <is>
          <t>Port_Halcyon</t>
        </is>
      </c>
      <c r="B206" t="n">
        <v>61774</v>
      </c>
      <c r="C206" t="inlineStr">
        <is>
          <t xml:space="preserve">Power Processors  </t>
        </is>
      </c>
      <c r="D206" t="inlineStr">
        <is>
          <t xml:space="preserve">Quinn Pierce  </t>
        </is>
      </c>
      <c r="E206" t="inlineStr">
        <is>
          <t xml:space="preserve">Willowbrook Academy  </t>
        </is>
      </c>
      <c r="F206" t="inlineStr">
        <is>
          <t>D1</t>
        </is>
      </c>
      <c r="G206" t="n">
        <v>8</v>
      </c>
      <c r="H206" s="3" t="n"/>
    </row>
    <row r="207" ht="15.75" customHeight="1">
      <c r="A207" s="1" t="inlineStr">
        <is>
          <t>Port_Halcyon</t>
        </is>
      </c>
      <c r="B207" t="n">
        <v>62318</v>
      </c>
      <c r="C207" t="inlineStr">
        <is>
          <t xml:space="preserve">Rapid Rovers  </t>
        </is>
      </c>
      <c r="D207" t="inlineStr">
        <is>
          <t xml:space="preserve">Rhett Rhodes  </t>
        </is>
      </c>
      <c r="E207" t="inlineStr">
        <is>
          <t xml:space="preserve">Brookside Valley School  </t>
        </is>
      </c>
      <c r="F207" t="inlineStr">
        <is>
          <t>D1</t>
        </is>
      </c>
      <c r="G207" t="n">
        <v>10</v>
      </c>
      <c r="H207" s="3" t="n"/>
    </row>
    <row r="208" ht="15.75" customHeight="1">
      <c r="A208" s="1" t="inlineStr">
        <is>
          <t>Port_Halcyon</t>
        </is>
      </c>
      <c r="B208" t="n">
        <v>67975</v>
      </c>
      <c r="C208" t="inlineStr">
        <is>
          <t xml:space="preserve">Thunder Techs  </t>
        </is>
      </c>
      <c r="D208" t="inlineStr">
        <is>
          <t xml:space="preserve">Stuart Foster  </t>
        </is>
      </c>
      <c r="E208" t="inlineStr">
        <is>
          <t xml:space="preserve">Clearwater Springs Academy  </t>
        </is>
      </c>
      <c r="F208" t="inlineStr">
        <is>
          <t>D1</t>
        </is>
      </c>
      <c r="G208" t="n">
        <v>7</v>
      </c>
      <c r="H208" s="3" t="n"/>
    </row>
    <row r="209" ht="15.75" customHeight="1">
      <c r="A209" s="1" t="inlineStr">
        <is>
          <t>Port_Halcyon</t>
        </is>
      </c>
      <c r="B209" t="n">
        <v>71976</v>
      </c>
      <c r="C209" t="inlineStr">
        <is>
          <t xml:space="preserve">Sonic Circuits  </t>
        </is>
      </c>
      <c r="D209" t="inlineStr">
        <is>
          <t xml:space="preserve">Tanner Maddox  </t>
        </is>
      </c>
      <c r="E209" t="inlineStr">
        <is>
          <t xml:space="preserve">Evergreen Ridge Preparatory  </t>
        </is>
      </c>
      <c r="F209" t="inlineStr">
        <is>
          <t>D1</t>
        </is>
      </c>
      <c r="G209" t="n">
        <v>2</v>
      </c>
      <c r="H209" s="3" t="n"/>
    </row>
    <row r="210" ht="15.75" customHeight="1">
      <c r="A210" s="1" t="inlineStr">
        <is>
          <t>Port_Halcyon</t>
        </is>
      </c>
      <c r="B210" t="n">
        <v>72493</v>
      </c>
      <c r="C210" t="inlineStr">
        <is>
          <t xml:space="preserve">Hyper Hardware  </t>
        </is>
      </c>
      <c r="D210" t="inlineStr">
        <is>
          <t xml:space="preserve">Uriah Shaw  </t>
        </is>
      </c>
      <c r="E210" t="inlineStr">
        <is>
          <t xml:space="preserve">Highland Springs School  </t>
        </is>
      </c>
      <c r="F210" t="inlineStr">
        <is>
          <t>D1</t>
        </is>
      </c>
      <c r="G210" t="n">
        <v>4</v>
      </c>
      <c r="H210" s="3" t="n"/>
    </row>
    <row r="211" ht="15.75" customHeight="1">
      <c r="A211" s="1" t="inlineStr">
        <is>
          <t>Port_Halcyon</t>
        </is>
      </c>
      <c r="B211" t="n">
        <v>73442</v>
      </c>
      <c r="C211" t="inlineStr">
        <is>
          <t xml:space="preserve">Momentum Mechanics  </t>
        </is>
      </c>
      <c r="D211" t="inlineStr">
        <is>
          <t xml:space="preserve">Vance Turner  </t>
        </is>
      </c>
      <c r="E211" t="inlineStr">
        <is>
          <t xml:space="preserve">Valley Ridge Academy  </t>
        </is>
      </c>
      <c r="F211" t="inlineStr">
        <is>
          <t>D1</t>
        </is>
      </c>
      <c r="G211" t="n">
        <v>3</v>
      </c>
      <c r="H211" s="3" t="n"/>
    </row>
    <row r="212" ht="15.75" customHeight="1">
      <c r="A212" s="1" t="inlineStr">
        <is>
          <t>Port_Halcyon</t>
        </is>
      </c>
      <c r="B212" t="n">
        <v>58554</v>
      </c>
      <c r="C212" t="inlineStr">
        <is>
          <t xml:space="preserve">Turbo Titans  </t>
        </is>
      </c>
      <c r="D212" t="inlineStr">
        <is>
          <t xml:space="preserve">Warren Mercer  </t>
        </is>
      </c>
      <c r="E212" t="inlineStr">
        <is>
          <t xml:space="preserve">Sunrise Ridge Preparatory  </t>
        </is>
      </c>
      <c r="F212" t="inlineStr">
        <is>
          <t>D2</t>
        </is>
      </c>
      <c r="G212" t="n">
        <v>6</v>
      </c>
      <c r="H212" s="3" t="n"/>
    </row>
    <row r="213" ht="15.75" customHeight="1">
      <c r="A213" s="1" t="inlineStr">
        <is>
          <t>Port_Halcyon</t>
        </is>
      </c>
      <c r="B213" t="n">
        <v>61208</v>
      </c>
      <c r="C213" t="inlineStr">
        <is>
          <t xml:space="preserve">Lightning Legends  </t>
        </is>
      </c>
      <c r="D213" t="inlineStr">
        <is>
          <t xml:space="preserve">Xavier Barrett  </t>
        </is>
      </c>
      <c r="E213" t="inlineStr">
        <is>
          <t xml:space="preserve">Canyon Grove School  </t>
        </is>
      </c>
      <c r="F213" t="inlineStr">
        <is>
          <t>D2</t>
        </is>
      </c>
      <c r="G213" t="n">
        <v>5</v>
      </c>
      <c r="H213" s="3" t="n"/>
    </row>
    <row r="214" ht="15.75" customHeight="1">
      <c r="A214" s="1" t="inlineStr">
        <is>
          <t>Port_Halcyon</t>
        </is>
      </c>
      <c r="B214" t="n">
        <v>61312</v>
      </c>
      <c r="C214" t="inlineStr">
        <is>
          <t xml:space="preserve">Velocity Vortex  </t>
        </is>
      </c>
      <c r="D214" t="inlineStr">
        <is>
          <t xml:space="preserve">Yale Briggs  </t>
        </is>
      </c>
      <c r="E214" t="inlineStr">
        <is>
          <t xml:space="preserve">Forest Ridge Preparatory  </t>
        </is>
      </c>
      <c r="F214" t="inlineStr">
        <is>
          <t>D2</t>
        </is>
      </c>
      <c r="G214" t="n">
        <v>6</v>
      </c>
      <c r="H214" s="3" t="n"/>
    </row>
    <row r="215" ht="15.75" customHeight="1">
      <c r="A215" s="1" t="inlineStr">
        <is>
          <t>Port_Halcyon</t>
        </is>
      </c>
      <c r="B215" t="n">
        <v>65554</v>
      </c>
      <c r="C215" t="inlineStr">
        <is>
          <t xml:space="preserve">Speedy Sparks  </t>
        </is>
      </c>
      <c r="D215" t="inlineStr">
        <is>
          <t xml:space="preserve">Zander Harlan  </t>
        </is>
      </c>
      <c r="E215" t="inlineStr">
        <is>
          <t xml:space="preserve">Silverbrook Ridge Academy  </t>
        </is>
      </c>
      <c r="F215" t="inlineStr">
        <is>
          <t>D2</t>
        </is>
      </c>
      <c r="G215" t="n">
        <v>10</v>
      </c>
      <c r="H215" s="3" t="n"/>
    </row>
    <row r="216" ht="15.75" customHeight="1">
      <c r="A216" s="1" t="inlineStr">
        <is>
          <t>Port_Halcyon</t>
        </is>
      </c>
      <c r="B216" t="n">
        <v>67530</v>
      </c>
      <c r="C216" t="inlineStr">
        <is>
          <t xml:space="preserve">Power Pioneers  </t>
        </is>
      </c>
      <c r="D216" t="inlineStr">
        <is>
          <t xml:space="preserve">Alden Everett  </t>
        </is>
      </c>
      <c r="E216" t="inlineStr">
        <is>
          <t xml:space="preserve">Twin Rivers Meadow School  </t>
        </is>
      </c>
      <c r="F216" t="inlineStr">
        <is>
          <t>D2</t>
        </is>
      </c>
      <c r="G216" t="n">
        <v>10</v>
      </c>
      <c r="H216" s="3" t="n"/>
    </row>
    <row r="217" ht="15.75" customHeight="1">
      <c r="A217" s="1" t="inlineStr">
        <is>
          <t>Port_Halcyon</t>
        </is>
      </c>
      <c r="B217" t="n">
        <v>69299</v>
      </c>
      <c r="C217" t="inlineStr">
        <is>
          <t xml:space="preserve">Rapid Rangers  </t>
        </is>
      </c>
      <c r="D217" t="inlineStr">
        <is>
          <t xml:space="preserve">Briar Chandler  </t>
        </is>
      </c>
      <c r="E217" t="inlineStr">
        <is>
          <t xml:space="preserve">Meadow Springs Academy  </t>
        </is>
      </c>
      <c r="F217" t="inlineStr">
        <is>
          <t>D2</t>
        </is>
      </c>
      <c r="G217" t="n">
        <v>2</v>
      </c>
      <c r="H217" s="3" t="n"/>
    </row>
    <row r="218" ht="15.75" customHeight="1">
      <c r="A218" s="1" t="inlineStr">
        <is>
          <t>Port_Halcyon</t>
        </is>
      </c>
      <c r="B218" t="n">
        <v>70559</v>
      </c>
      <c r="C218" t="inlineStr">
        <is>
          <t xml:space="preserve">Thunder Thinkers  </t>
        </is>
      </c>
      <c r="D218" t="inlineStr">
        <is>
          <t xml:space="preserve">Cullen Pierce  </t>
        </is>
      </c>
      <c r="E218" t="inlineStr">
        <is>
          <t xml:space="preserve">Skyline Valley School  </t>
        </is>
      </c>
      <c r="F218" t="inlineStr">
        <is>
          <t>D2</t>
        </is>
      </c>
      <c r="G218" t="n">
        <v>7</v>
      </c>
      <c r="H218" s="3" t="n"/>
    </row>
    <row r="219" ht="15.75" customHeight="1">
      <c r="A219" s="1" t="inlineStr">
        <is>
          <t>Port_Halcyon</t>
        </is>
      </c>
      <c r="B219" t="n">
        <v>70646</v>
      </c>
      <c r="C219" t="inlineStr">
        <is>
          <t xml:space="preserve">Sonic Solderers  </t>
        </is>
      </c>
      <c r="D219" t="inlineStr">
        <is>
          <t xml:space="preserve">Damon Rhodes  </t>
        </is>
      </c>
      <c r="E219" t="inlineStr">
        <is>
          <t xml:space="preserve">Liberty Ridge Academy  </t>
        </is>
      </c>
      <c r="F219" t="inlineStr">
        <is>
          <t>D2</t>
        </is>
      </c>
      <c r="G219" t="n">
        <v>2</v>
      </c>
      <c r="H219" s="3" t="n"/>
    </row>
    <row r="220" ht="15.75" customHeight="1">
      <c r="A220" s="1" t="inlineStr">
        <is>
          <t>Port_Halcyon</t>
        </is>
      </c>
      <c r="B220" t="n">
        <v>70687</v>
      </c>
      <c r="C220" t="inlineStr">
        <is>
          <t xml:space="preserve">Hyper Holograms  </t>
        </is>
      </c>
      <c r="D220" t="inlineStr">
        <is>
          <t xml:space="preserve">Elias Foster  </t>
        </is>
      </c>
      <c r="E220" t="inlineStr">
        <is>
          <t xml:space="preserve">Heritage Grove Preparatory  </t>
        </is>
      </c>
      <c r="F220" t="inlineStr">
        <is>
          <t>D2</t>
        </is>
      </c>
      <c r="G220" t="n">
        <v>10</v>
      </c>
      <c r="H220" s="3" t="n"/>
    </row>
    <row r="221" ht="15.75" customHeight="1">
      <c r="A221" s="1" t="inlineStr">
        <is>
          <t>Port_Halcyon</t>
        </is>
      </c>
      <c r="B221" t="n">
        <v>71844</v>
      </c>
      <c r="C221" t="inlineStr">
        <is>
          <t xml:space="preserve">Momentum Mavericks  </t>
        </is>
      </c>
      <c r="D221" t="inlineStr">
        <is>
          <t xml:space="preserve">Foster Dalton  </t>
        </is>
      </c>
      <c r="E221" t="inlineStr">
        <is>
          <t xml:space="preserve">Pioneer Valley School  </t>
        </is>
      </c>
      <c r="F221" t="inlineStr">
        <is>
          <t>D2</t>
        </is>
      </c>
      <c r="G221" t="n">
        <v>5</v>
      </c>
      <c r="H221" s="3" t="n"/>
    </row>
    <row r="222" ht="15.75" customHeight="1">
      <c r="A222" s="1" t="inlineStr">
        <is>
          <t>Port_Halcyon</t>
        </is>
      </c>
      <c r="B222" t="n">
        <v>73987</v>
      </c>
      <c r="C222" t="inlineStr">
        <is>
          <t xml:space="preserve">Turbo Transformers  </t>
        </is>
      </c>
      <c r="D222" t="inlineStr">
        <is>
          <t xml:space="preserve">Gideon Harmon  </t>
        </is>
      </c>
      <c r="E222" t="inlineStr">
        <is>
          <t xml:space="preserve">Aspen Ridge Preparatory  </t>
        </is>
      </c>
      <c r="F222" t="inlineStr">
        <is>
          <t>D2</t>
        </is>
      </c>
      <c r="G222" t="n">
        <v>6</v>
      </c>
      <c r="H222" s="3" t="n"/>
    </row>
    <row r="223" ht="15.75" customHeight="1">
      <c r="A223" s="1" t="inlineStr">
        <is>
          <t>Port_Halcyon</t>
        </is>
      </c>
      <c r="B223" t="n">
        <v>74252</v>
      </c>
      <c r="C223" t="inlineStr">
        <is>
          <t xml:space="preserve">Lightning Launchers  </t>
        </is>
      </c>
      <c r="D223" t="inlineStr">
        <is>
          <t xml:space="preserve">Huxley Everett  </t>
        </is>
      </c>
      <c r="E223" t="inlineStr">
        <is>
          <t xml:space="preserve">Cedar Grove Academy  </t>
        </is>
      </c>
      <c r="F223" t="inlineStr">
        <is>
          <t>D2</t>
        </is>
      </c>
      <c r="G223" t="n">
        <v>8</v>
      </c>
      <c r="H223" s="3" t="n"/>
    </row>
    <row r="224" ht="15.75" customHeight="1">
      <c r="A224" s="1" t="inlineStr">
        <is>
          <t>Port_Halcyon</t>
        </is>
      </c>
      <c r="B224" t="n">
        <v>74253</v>
      </c>
      <c r="C224" t="inlineStr">
        <is>
          <t xml:space="preserve">Velocity Voyagers  </t>
        </is>
      </c>
      <c r="D224" t="inlineStr">
        <is>
          <t xml:space="preserve">Iker Chandler  </t>
        </is>
      </c>
      <c r="E224" t="inlineStr">
        <is>
          <t xml:space="preserve">Maple Ridge School  </t>
        </is>
      </c>
      <c r="F224" t="inlineStr">
        <is>
          <t>D2</t>
        </is>
      </c>
      <c r="G224" t="n">
        <v>9</v>
      </c>
      <c r="H224" s="3" t="n"/>
    </row>
    <row r="225" ht="15.75" customHeight="1">
      <c r="A225" s="1" t="inlineStr">
        <is>
          <t>Port_Halcyon</t>
        </is>
      </c>
      <c r="B225" t="n">
        <v>74432</v>
      </c>
      <c r="C225" t="inlineStr">
        <is>
          <t xml:space="preserve">Speedy Systems  </t>
        </is>
      </c>
      <c r="D225" t="inlineStr">
        <is>
          <t xml:space="preserve">Jace Pierce  </t>
        </is>
      </c>
      <c r="E225" t="inlineStr">
        <is>
          <t xml:space="preserve">Riverbend Ridge Academy  </t>
        </is>
      </c>
      <c r="F225" t="inlineStr">
        <is>
          <t>D2</t>
        </is>
      </c>
      <c r="G225" t="n">
        <v>10</v>
      </c>
      <c r="H225" s="3" t="n"/>
    </row>
    <row r="226" ht="15.75" customHeight="1">
      <c r="A226" s="1" t="inlineStr">
        <is>
          <t>Thornridge_Hollow</t>
        </is>
      </c>
      <c r="B226" t="n">
        <v>112</v>
      </c>
      <c r="C226" t="inlineStr">
        <is>
          <t xml:space="preserve">Power Programmers  </t>
        </is>
      </c>
      <c r="D226" t="inlineStr">
        <is>
          <t xml:space="preserve">Koda Rhodes  </t>
        </is>
      </c>
      <c r="E226" t="inlineStr">
        <is>
          <t xml:space="preserve">Brightstone Ridge School  </t>
        </is>
      </c>
      <c r="F226" t="inlineStr">
        <is>
          <t>D1</t>
        </is>
      </c>
      <c r="G226" t="n">
        <v>6</v>
      </c>
      <c r="H226" s="3" t="n"/>
    </row>
    <row r="227" ht="15.75" customHeight="1">
      <c r="A227" s="1" t="inlineStr">
        <is>
          <t>Thornridge_Hollow</t>
        </is>
      </c>
      <c r="B227" t="n">
        <v>58555</v>
      </c>
      <c r="C227" t="inlineStr">
        <is>
          <t xml:space="preserve">Rapid Robots  </t>
        </is>
      </c>
      <c r="D227" t="inlineStr">
        <is>
          <t xml:space="preserve">Lachlan Foster  </t>
        </is>
      </c>
      <c r="E227" t="inlineStr">
        <is>
          <t xml:space="preserve">Northshore Ridge Academy  </t>
        </is>
      </c>
      <c r="F227" t="inlineStr">
        <is>
          <t>D1</t>
        </is>
      </c>
      <c r="G227" t="n">
        <v>7</v>
      </c>
      <c r="H227" s="3" t="n"/>
    </row>
    <row r="228" ht="15.75" customHeight="1">
      <c r="A228" s="1" t="inlineStr">
        <is>
          <t>Thornridge_Hollow</t>
        </is>
      </c>
      <c r="B228" t="n">
        <v>66964</v>
      </c>
      <c r="C228" t="inlineStr">
        <is>
          <t xml:space="preserve">Thunder Thrusters  </t>
        </is>
      </c>
      <c r="D228" t="inlineStr">
        <is>
          <t xml:space="preserve">Merrick Maddox  </t>
        </is>
      </c>
      <c r="E228" t="inlineStr">
        <is>
          <t xml:space="preserve">Southcrest Ridge School  </t>
        </is>
      </c>
      <c r="F228" t="inlineStr">
        <is>
          <t>D1</t>
        </is>
      </c>
      <c r="G228" t="n">
        <v>7</v>
      </c>
      <c r="H228" s="3" t="n"/>
    </row>
    <row r="229" ht="15.75" customHeight="1">
      <c r="A229" s="1" t="inlineStr">
        <is>
          <t>Thornridge_Hollow</t>
        </is>
      </c>
      <c r="B229" t="n">
        <v>70464</v>
      </c>
      <c r="C229" t="inlineStr">
        <is>
          <t xml:space="preserve">Sonic Sensors  </t>
        </is>
      </c>
      <c r="D229" t="inlineStr">
        <is>
          <t xml:space="preserve">Niall Shaw  </t>
        </is>
      </c>
      <c r="E229" t="inlineStr">
        <is>
          <t xml:space="preserve">Eastview Ridge Academy  </t>
        </is>
      </c>
      <c r="F229" t="inlineStr">
        <is>
          <t>D1</t>
        </is>
      </c>
      <c r="G229" t="n">
        <v>3</v>
      </c>
      <c r="H229" s="3" t="n"/>
    </row>
    <row r="230" ht="15.75" customHeight="1">
      <c r="A230" s="1" t="inlineStr">
        <is>
          <t>Thornridge_Hollow</t>
        </is>
      </c>
      <c r="B230" t="n">
        <v>71159</v>
      </c>
      <c r="C230" t="inlineStr">
        <is>
          <t xml:space="preserve">Hyper Hydraulics  </t>
        </is>
      </c>
      <c r="D230" t="inlineStr">
        <is>
          <t xml:space="preserve">Odin Turner  </t>
        </is>
      </c>
      <c r="E230" t="inlineStr">
        <is>
          <t xml:space="preserve">Westlake Ridge School  </t>
        </is>
      </c>
      <c r="F230" t="inlineStr">
        <is>
          <t>D1</t>
        </is>
      </c>
      <c r="G230" t="n">
        <v>8</v>
      </c>
      <c r="H230" s="3" t="n"/>
    </row>
    <row r="231" ht="15.75" customHeight="1">
      <c r="A231" s="1" t="inlineStr">
        <is>
          <t>Thornridge_Hollow</t>
        </is>
      </c>
      <c r="B231" t="n">
        <v>71281</v>
      </c>
      <c r="C231" t="inlineStr">
        <is>
          <t xml:space="preserve">Momentum Machines  </t>
        </is>
      </c>
      <c r="D231" t="inlineStr">
        <is>
          <t xml:space="preserve">Pierce Mercer  </t>
        </is>
      </c>
      <c r="E231" t="inlineStr">
        <is>
          <t xml:space="preserve">Hilltop Ridge Academy  </t>
        </is>
      </c>
      <c r="F231" t="inlineStr">
        <is>
          <t>D1</t>
        </is>
      </c>
      <c r="G231" t="n">
        <v>5</v>
      </c>
      <c r="H231" s="3" t="n"/>
    </row>
    <row r="232" ht="15.75" customHeight="1">
      <c r="A232" s="1" t="inlineStr">
        <is>
          <t>Thornridge_Hollow</t>
        </is>
      </c>
      <c r="B232" t="n">
        <v>73297</v>
      </c>
      <c r="C232" t="inlineStr">
        <is>
          <t xml:space="preserve">Ctrl‑Alt‑Defeat  </t>
        </is>
      </c>
      <c r="D232" t="inlineStr">
        <is>
          <t xml:space="preserve">Quill Barrett  </t>
        </is>
      </c>
      <c r="E232" t="inlineStr">
        <is>
          <t xml:space="preserve">Lighthouse Grove School  </t>
        </is>
      </c>
      <c r="F232" t="inlineStr">
        <is>
          <t>D1</t>
        </is>
      </c>
      <c r="G232" t="n">
        <v>7</v>
      </c>
      <c r="H232" s="3" t="n"/>
    </row>
    <row r="233" ht="15.75" customHeight="1">
      <c r="A233" s="1" t="inlineStr">
        <is>
          <t>Thornridge_Hollow</t>
        </is>
      </c>
      <c r="B233" t="n">
        <v>74214</v>
      </c>
      <c r="C233" t="inlineStr">
        <is>
          <t xml:space="preserve">The Bot‑tom Line  </t>
        </is>
      </c>
      <c r="D233" t="inlineStr">
        <is>
          <t xml:space="preserve">Ridge Briggs  </t>
        </is>
      </c>
      <c r="E233" t="inlineStr">
        <is>
          <t xml:space="preserve">Green Meadows Ridge Academy  </t>
        </is>
      </c>
      <c r="F233" t="inlineStr">
        <is>
          <t>D1</t>
        </is>
      </c>
      <c r="G233" t="n">
        <v>6</v>
      </c>
      <c r="H233" s="3" t="n"/>
    </row>
    <row r="234" ht="15.75" customHeight="1">
      <c r="A234" s="1" t="inlineStr">
        <is>
          <t>Thornridge_Hollow</t>
        </is>
      </c>
      <c r="B234" t="n">
        <v>38344</v>
      </c>
      <c r="C234" t="inlineStr">
        <is>
          <t xml:space="preserve">Not Fast, Just Furious  </t>
        </is>
      </c>
      <c r="D234" t="inlineStr">
        <is>
          <t xml:space="preserve">Stetson Harlan  </t>
        </is>
      </c>
      <c r="E234" t="inlineStr">
        <is>
          <t xml:space="preserve">Lakewood Springs School  </t>
        </is>
      </c>
      <c r="F234" t="inlineStr">
        <is>
          <t>D2</t>
        </is>
      </c>
      <c r="G234" t="n">
        <v>4</v>
      </c>
      <c r="H234" s="3" t="n"/>
    </row>
    <row r="235" ht="15.75" customHeight="1">
      <c r="A235" s="1" t="inlineStr">
        <is>
          <t>Thornridge_Hollow</t>
        </is>
      </c>
      <c r="B235" t="n">
        <v>41398</v>
      </c>
      <c r="C235" t="inlineStr">
        <is>
          <t xml:space="preserve">The Loose Screws  </t>
        </is>
      </c>
      <c r="D235" t="inlineStr">
        <is>
          <t xml:space="preserve">Torin Everett  </t>
        </is>
      </c>
      <c r="E235" t="inlineStr">
        <is>
          <t xml:space="preserve">Mountain Crest Ridge Academy  </t>
        </is>
      </c>
      <c r="F235" t="inlineStr">
        <is>
          <t>D2</t>
        </is>
      </c>
      <c r="G235" t="n">
        <v>4</v>
      </c>
      <c r="H235" s="3" t="n"/>
    </row>
    <row r="236" ht="15.75" customHeight="1">
      <c r="A236" s="1" t="inlineStr">
        <is>
          <t>Thornridge_Hollow</t>
        </is>
      </c>
      <c r="B236" t="n">
        <v>43760</v>
      </c>
      <c r="C236" t="inlineStr">
        <is>
          <t xml:space="preserve">The Missing Manuals  </t>
        </is>
      </c>
      <c r="D236" t="inlineStr">
        <is>
          <t xml:space="preserve">Ulises Chandler  </t>
        </is>
      </c>
      <c r="E236" t="inlineStr">
        <is>
          <t xml:space="preserve">Willow Creek Ridge School  </t>
        </is>
      </c>
      <c r="F236" t="inlineStr">
        <is>
          <t>D2</t>
        </is>
      </c>
      <c r="G236" t="n">
        <v>4</v>
      </c>
      <c r="H236" s="3" t="n"/>
    </row>
    <row r="237" ht="15.75" customHeight="1">
      <c r="A237" s="1" t="inlineStr">
        <is>
          <t>Thornridge_Hollow</t>
        </is>
      </c>
      <c r="B237" t="n">
        <v>50844</v>
      </c>
      <c r="C237" t="inlineStr">
        <is>
          <t xml:space="preserve">The Glitch Gremlins  </t>
        </is>
      </c>
      <c r="D237" t="inlineStr">
        <is>
          <t xml:space="preserve">Vito Pierce  </t>
        </is>
      </c>
      <c r="E237" t="inlineStr">
        <is>
          <t xml:space="preserve">Brookfield Ridge Academy  </t>
        </is>
      </c>
      <c r="F237" t="inlineStr">
        <is>
          <t>D2</t>
        </is>
      </c>
      <c r="G237" t="n">
        <v>6</v>
      </c>
      <c r="H237" s="3" t="n"/>
    </row>
    <row r="238" ht="15.75" customHeight="1">
      <c r="A238" s="1" t="inlineStr">
        <is>
          <t>Thornridge_Hollow</t>
        </is>
      </c>
      <c r="B238" t="n">
        <v>53738</v>
      </c>
      <c r="C238" t="inlineStr">
        <is>
          <t xml:space="preserve">The Overclocked  </t>
        </is>
      </c>
      <c r="D238" t="inlineStr">
        <is>
          <t xml:space="preserve">Wes Rhodes  </t>
        </is>
      </c>
      <c r="E238" t="inlineStr">
        <is>
          <t xml:space="preserve">Clearview Springs School  </t>
        </is>
      </c>
      <c r="F238" t="inlineStr">
        <is>
          <t>D2</t>
        </is>
      </c>
      <c r="G238" t="n">
        <v>7</v>
      </c>
      <c r="H238" s="3" t="n"/>
    </row>
    <row r="239" ht="15.75" customHeight="1">
      <c r="A239" s="1" t="inlineStr">
        <is>
          <t>Thornridge_Hollow</t>
        </is>
      </c>
      <c r="B239" t="n">
        <v>53787</v>
      </c>
      <c r="C239" t="inlineStr">
        <is>
          <t xml:space="preserve">The Under‑Caffeinated Engineers  </t>
        </is>
      </c>
      <c r="D239" t="inlineStr">
        <is>
          <t xml:space="preserve">Xeno Foster  </t>
        </is>
      </c>
      <c r="E239" t="inlineStr">
        <is>
          <t xml:space="preserve">Evergreen Valley Preparatory  </t>
        </is>
      </c>
      <c r="F239" t="inlineStr">
        <is>
          <t>D2</t>
        </is>
      </c>
      <c r="G239" t="n">
        <v>2</v>
      </c>
      <c r="H239" s="3" t="n"/>
    </row>
    <row r="240" ht="15.75" customHeight="1">
      <c r="A240" s="1" t="inlineStr">
        <is>
          <t>Thornridge_Hollow</t>
        </is>
      </c>
      <c r="B240" t="n">
        <v>55212</v>
      </c>
      <c r="C240" t="inlineStr">
        <is>
          <t xml:space="preserve">The Robo‑Tatoes  </t>
        </is>
      </c>
      <c r="D240" t="inlineStr">
        <is>
          <t xml:space="preserve">Yuri Dalton  </t>
        </is>
      </c>
      <c r="E240" t="inlineStr">
        <is>
          <t xml:space="preserve">Highland Ridge Preparatory  </t>
        </is>
      </c>
      <c r="F240" t="inlineStr">
        <is>
          <t>D2</t>
        </is>
      </c>
      <c r="G240" t="n">
        <v>7</v>
      </c>
      <c r="H240" s="3" t="n"/>
    </row>
    <row r="241" ht="15.75" customHeight="1">
      <c r="A241" s="1" t="inlineStr">
        <is>
          <t>Thornridge_Hollow</t>
        </is>
      </c>
      <c r="B241" t="n">
        <v>58553</v>
      </c>
      <c r="C241" t="inlineStr">
        <is>
          <t xml:space="preserve">The Brick‑Heads  </t>
        </is>
      </c>
      <c r="D241" t="inlineStr">
        <is>
          <t xml:space="preserve">Zev Harmon  </t>
        </is>
      </c>
      <c r="E241" t="inlineStr">
        <is>
          <t xml:space="preserve">Valley Springs Ridge School  </t>
        </is>
      </c>
      <c r="F241" t="inlineStr">
        <is>
          <t>D2</t>
        </is>
      </c>
      <c r="G241" t="n">
        <v>8</v>
      </c>
      <c r="H241" s="3" t="n"/>
    </row>
    <row r="242" ht="15.75" customHeight="1">
      <c r="A242" s="1" t="inlineStr">
        <is>
          <t>Thornridge_Hollow</t>
        </is>
      </c>
      <c r="B242" t="n">
        <v>58675</v>
      </c>
      <c r="C242" t="inlineStr">
        <is>
          <t xml:space="preserve">The Bot‑atoes  </t>
        </is>
      </c>
      <c r="D242" t="inlineStr">
        <is>
          <t xml:space="preserve">Ari Everett  </t>
        </is>
      </c>
      <c r="E242" t="inlineStr">
        <is>
          <t xml:space="preserve">Sunset Valley Ridge Academy  </t>
        </is>
      </c>
      <c r="F242" t="inlineStr">
        <is>
          <t>D2</t>
        </is>
      </c>
      <c r="G242" t="n">
        <v>8</v>
      </c>
      <c r="H242" s="3" t="n"/>
    </row>
    <row r="243" ht="15.75" customHeight="1">
      <c r="A243" s="1" t="inlineStr">
        <is>
          <t>Thornridge_Hollow</t>
        </is>
      </c>
      <c r="B243" t="n">
        <v>62583</v>
      </c>
      <c r="C243" t="inlineStr">
        <is>
          <t xml:space="preserve">The Mech‑nificent Seven  </t>
        </is>
      </c>
      <c r="D243" t="inlineStr">
        <is>
          <t xml:space="preserve">Bode Chandler  </t>
        </is>
      </c>
      <c r="E243" t="inlineStr">
        <is>
          <t xml:space="preserve">Canyon Springs Ridge School  </t>
        </is>
      </c>
      <c r="F243" t="inlineStr">
        <is>
          <t>D2</t>
        </is>
      </c>
      <c r="G243" t="n">
        <v>4</v>
      </c>
      <c r="H243" s="3" t="n"/>
    </row>
    <row r="244" ht="15.75" customHeight="1">
      <c r="A244" s="1" t="inlineStr">
        <is>
          <t>Thornridge_Hollow</t>
        </is>
      </c>
      <c r="B244" t="n">
        <v>65427</v>
      </c>
      <c r="C244" t="inlineStr">
        <is>
          <t xml:space="preserve">The Gear‑ish Delights  </t>
        </is>
      </c>
      <c r="D244" t="inlineStr">
        <is>
          <t xml:space="preserve">Cian Pierce  </t>
        </is>
      </c>
      <c r="E244" t="inlineStr">
        <is>
          <t xml:space="preserve">Forest Hills Ridge Academy  </t>
        </is>
      </c>
      <c r="F244" t="inlineStr">
        <is>
          <t>D2</t>
        </is>
      </c>
      <c r="G244" t="n">
        <v>5</v>
      </c>
      <c r="H244" s="3" t="n"/>
    </row>
    <row r="245" ht="15.75" customHeight="1">
      <c r="A245" s="1" t="inlineStr">
        <is>
          <t>Thornridge_Hollow</t>
        </is>
      </c>
      <c r="B245" t="n">
        <v>66858</v>
      </c>
      <c r="C245" t="inlineStr">
        <is>
          <t xml:space="preserve">The Debugging Ducks  </t>
        </is>
      </c>
      <c r="D245" t="inlineStr">
        <is>
          <t xml:space="preserve">Dane Rhodes  </t>
        </is>
      </c>
      <c r="E245" t="inlineStr">
        <is>
          <t xml:space="preserve">Silver Creek Ridge School  </t>
        </is>
      </c>
      <c r="F245" t="inlineStr">
        <is>
          <t>D2</t>
        </is>
      </c>
      <c r="G245" t="n">
        <v>4</v>
      </c>
      <c r="H245" s="3" t="n"/>
    </row>
    <row r="246" ht="15.75" customHeight="1">
      <c r="A246" s="1" t="inlineStr">
        <is>
          <t>Thornridge_Hollow</t>
        </is>
      </c>
      <c r="B246" t="n">
        <v>68631</v>
      </c>
      <c r="C246" t="inlineStr">
        <is>
          <t xml:space="preserve">The Robo‑Rhinos  </t>
        </is>
      </c>
      <c r="D246" t="inlineStr">
        <is>
          <t xml:space="preserve">Ewan Foster  </t>
        </is>
      </c>
      <c r="E246" t="inlineStr">
        <is>
          <t xml:space="preserve">Twin Lakes Valley Academy  </t>
        </is>
      </c>
      <c r="F246" t="inlineStr">
        <is>
          <t>D2</t>
        </is>
      </c>
      <c r="G246" t="n">
        <v>7</v>
      </c>
      <c r="H246" s="3" t="n"/>
    </row>
    <row r="247" ht="15.75" customHeight="1">
      <c r="A247" s="1" t="inlineStr">
        <is>
          <t>Thornridge_Hollow</t>
        </is>
      </c>
      <c r="B247" t="n">
        <v>71495</v>
      </c>
      <c r="C247" t="inlineStr">
        <is>
          <t xml:space="preserve">The Brick‑O‑Bots  </t>
        </is>
      </c>
      <c r="D247" t="inlineStr">
        <is>
          <t xml:space="preserve">Fritz Dalton  </t>
        </is>
      </c>
      <c r="E247" t="inlineStr">
        <is>
          <t xml:space="preserve">Meadow Ridge Preparatory  </t>
        </is>
      </c>
      <c r="F247" t="inlineStr">
        <is>
          <t>D2</t>
        </is>
      </c>
      <c r="G247" t="n">
        <v>3</v>
      </c>
      <c r="H247" s="3" t="n"/>
    </row>
    <row r="248" ht="15.75" customHeight="1">
      <c r="A248" s="1" t="inlineStr">
        <is>
          <t>Thornridge_Hollow</t>
        </is>
      </c>
      <c r="B248" t="n">
        <v>72054</v>
      </c>
      <c r="C248" t="inlineStr">
        <is>
          <t xml:space="preserve">The Bot‑terflies  </t>
        </is>
      </c>
      <c r="D248" t="inlineStr">
        <is>
          <t xml:space="preserve">Gage Harmon  </t>
        </is>
      </c>
      <c r="E248" t="inlineStr">
        <is>
          <t xml:space="preserve">Skyview Springs Academy  </t>
        </is>
      </c>
      <c r="F248" t="inlineStr">
        <is>
          <t>D2</t>
        </is>
      </c>
      <c r="G248" t="n">
        <v>6</v>
      </c>
      <c r="H248" s="3" t="n"/>
    </row>
    <row r="249" ht="15.75" customHeight="1">
      <c r="A249" s="1" t="inlineStr">
        <is>
          <t>Azurefen_City</t>
        </is>
      </c>
      <c r="B249" t="n">
        <v>55754</v>
      </c>
      <c r="C249" t="inlineStr">
        <is>
          <t xml:space="preserve">The Mech‑a‑Doodles  </t>
        </is>
      </c>
      <c r="D249" t="inlineStr">
        <is>
          <t xml:space="preserve">Hale Everett  </t>
        </is>
      </c>
      <c r="E249" t="inlineStr">
        <is>
          <t xml:space="preserve">Liberty Hill Ridge School  </t>
        </is>
      </c>
      <c r="F249" t="inlineStr">
        <is>
          <t>D1</t>
        </is>
      </c>
      <c r="G249" t="n">
        <v>10</v>
      </c>
      <c r="H249" s="3" t="n"/>
    </row>
    <row r="250" ht="15.75" customHeight="1">
      <c r="A250" s="1" t="inlineStr">
        <is>
          <t>Azurefen_City</t>
        </is>
      </c>
      <c r="B250" t="n">
        <v>63329</v>
      </c>
      <c r="C250" t="inlineStr">
        <is>
          <t xml:space="preserve">The Circuit Circus  </t>
        </is>
      </c>
      <c r="D250" t="inlineStr">
        <is>
          <t xml:space="preserve">Ira Chandler  </t>
        </is>
      </c>
      <c r="E250" t="inlineStr">
        <is>
          <t xml:space="preserve">Heritage Valley Ridge Academy  </t>
        </is>
      </c>
      <c r="F250" t="inlineStr">
        <is>
          <t>D1</t>
        </is>
      </c>
      <c r="G250" t="n">
        <v>3</v>
      </c>
      <c r="H250" s="3" t="n"/>
    </row>
    <row r="251" ht="15.75" customHeight="1">
      <c r="A251" s="1" t="inlineStr">
        <is>
          <t>Azurefen_City</t>
        </is>
      </c>
      <c r="B251" t="n">
        <v>65210</v>
      </c>
      <c r="C251" t="inlineStr">
        <is>
          <t xml:space="preserve">The Gear‑ish Gang  </t>
        </is>
      </c>
      <c r="D251" t="inlineStr">
        <is>
          <t xml:space="preserve">Jory Pierce  </t>
        </is>
      </c>
      <c r="E251" t="inlineStr">
        <is>
          <t xml:space="preserve">Pioneer Springs Ridge School  </t>
        </is>
      </c>
      <c r="F251" t="inlineStr">
        <is>
          <t>D1</t>
        </is>
      </c>
      <c r="G251" t="n">
        <v>9</v>
      </c>
      <c r="H251" s="3" t="n"/>
    </row>
    <row r="252" ht="15.75" customHeight="1">
      <c r="A252" s="1" t="inlineStr">
        <is>
          <t>Azurefen_City</t>
        </is>
      </c>
      <c r="B252" t="n">
        <v>65224</v>
      </c>
      <c r="C252" t="inlineStr">
        <is>
          <t xml:space="preserve">The Bot‑tom Feeders  </t>
        </is>
      </c>
      <c r="D252" t="inlineStr">
        <is>
          <t xml:space="preserve">Keir Rhodes  </t>
        </is>
      </c>
      <c r="E252" t="inlineStr">
        <is>
          <t xml:space="preserve">Aspen Creek Ridge Academy  </t>
        </is>
      </c>
      <c r="F252" t="inlineStr">
        <is>
          <t>D1</t>
        </is>
      </c>
      <c r="G252" t="n">
        <v>8</v>
      </c>
      <c r="H252" s="3" t="n"/>
    </row>
    <row r="253" ht="15.75" customHeight="1">
      <c r="A253" s="1" t="inlineStr">
        <is>
          <t>Azurefen_City</t>
        </is>
      </c>
      <c r="B253" t="n">
        <v>70756</v>
      </c>
      <c r="C253" t="inlineStr">
        <is>
          <t xml:space="preserve">The Mech‑nicians  </t>
        </is>
      </c>
      <c r="D253" t="inlineStr">
        <is>
          <t xml:space="preserve">Lars Foster  </t>
        </is>
      </c>
      <c r="E253" t="inlineStr">
        <is>
          <t xml:space="preserve">Cedar Hill Ridge School  </t>
        </is>
      </c>
      <c r="F253" t="inlineStr">
        <is>
          <t>D1</t>
        </is>
      </c>
      <c r="G253" t="n">
        <v>5</v>
      </c>
      <c r="H253" s="3" t="n"/>
    </row>
    <row r="254" ht="15.75" customHeight="1">
      <c r="A254" s="1" t="inlineStr">
        <is>
          <t>Azurefen_City</t>
        </is>
      </c>
      <c r="B254" t="n">
        <v>72282</v>
      </c>
      <c r="C254" t="inlineStr">
        <is>
          <t xml:space="preserve">The Brick‑tastics  </t>
        </is>
      </c>
      <c r="D254" t="inlineStr">
        <is>
          <t xml:space="preserve">Milo Maddox  </t>
        </is>
      </c>
      <c r="E254" t="inlineStr">
        <is>
          <t xml:space="preserve">Maple Crest Ridge Academy  </t>
        </is>
      </c>
      <c r="F254" t="inlineStr">
        <is>
          <t>D1</t>
        </is>
      </c>
      <c r="G254" t="n">
        <v>6</v>
      </c>
      <c r="H254" s="3" t="n"/>
    </row>
    <row r="255" ht="15.75" customHeight="1">
      <c r="A255" s="1" t="inlineStr">
        <is>
          <t>Azurefen_City</t>
        </is>
      </c>
      <c r="B255" t="n">
        <v>73808</v>
      </c>
      <c r="C255" t="inlineStr">
        <is>
          <t xml:space="preserve">The Robo‑Rookies  </t>
        </is>
      </c>
      <c r="D255" t="inlineStr">
        <is>
          <t xml:space="preserve">Nash Shaw  </t>
        </is>
      </c>
      <c r="E255" t="inlineStr">
        <is>
          <t xml:space="preserve">Riverstone Springs School  </t>
        </is>
      </c>
      <c r="F255" t="inlineStr">
        <is>
          <t>D1</t>
        </is>
      </c>
      <c r="G255" t="n">
        <v>4</v>
      </c>
      <c r="H255" s="3" t="n"/>
    </row>
    <row r="256" ht="15.75" customHeight="1">
      <c r="A256" s="1" t="inlineStr">
        <is>
          <t>Azurefen_City</t>
        </is>
      </c>
      <c r="B256" t="n">
        <v>73833</v>
      </c>
      <c r="C256" t="inlineStr">
        <is>
          <t xml:space="preserve">The Bot‑tenders  </t>
        </is>
      </c>
      <c r="D256" t="inlineStr">
        <is>
          <t xml:space="preserve">Orrin Turner  </t>
        </is>
      </c>
      <c r="E256" t="inlineStr">
        <is>
          <t xml:space="preserve">Brightwood Ridge Academy  </t>
        </is>
      </c>
      <c r="F256" t="inlineStr">
        <is>
          <t>D1</t>
        </is>
      </c>
      <c r="G256" t="n">
        <v>6</v>
      </c>
      <c r="H256" s="3" t="n"/>
    </row>
    <row r="257" ht="15.75" customHeight="1">
      <c r="A257" s="1" t="inlineStr">
        <is>
          <t>Azurefen_City</t>
        </is>
      </c>
      <c r="B257" t="n">
        <v>27850</v>
      </c>
      <c r="C257" t="inlineStr">
        <is>
          <t xml:space="preserve">The Mech‑a‑Trons  </t>
        </is>
      </c>
      <c r="D257" t="inlineStr">
        <is>
          <t xml:space="preserve">Pryce Mercer  </t>
        </is>
      </c>
      <c r="E257" t="inlineStr">
        <is>
          <t xml:space="preserve">Northbrook Ridge School  </t>
        </is>
      </c>
      <c r="F257" t="inlineStr">
        <is>
          <t>D2</t>
        </is>
      </c>
      <c r="G257" t="n">
        <v>4</v>
      </c>
      <c r="H257" s="3" t="n"/>
    </row>
    <row r="258" ht="15.75" customHeight="1">
      <c r="A258" s="1" t="inlineStr">
        <is>
          <t>Azurefen_City</t>
        </is>
      </c>
      <c r="B258" t="n">
        <v>48466</v>
      </c>
      <c r="C258" t="inlineStr">
        <is>
          <t xml:space="preserve">The Circuit Sillies  </t>
        </is>
      </c>
      <c r="D258" t="inlineStr">
        <is>
          <t xml:space="preserve">Quinn Barrett  </t>
        </is>
      </c>
      <c r="E258" t="inlineStr">
        <is>
          <t xml:space="preserve">Southgate Ridge Academy  </t>
        </is>
      </c>
      <c r="F258" t="inlineStr">
        <is>
          <t>D2</t>
        </is>
      </c>
      <c r="G258" t="n">
        <v>4</v>
      </c>
      <c r="H258" s="3" t="n"/>
    </row>
    <row r="259" ht="15.75" customHeight="1">
      <c r="A259" s="1" t="inlineStr">
        <is>
          <t>Azurefen_City</t>
        </is>
      </c>
      <c r="B259" t="n">
        <v>54506</v>
      </c>
      <c r="C259" t="inlineStr">
        <is>
          <t xml:space="preserve">The Gear‑ish Goats  </t>
        </is>
      </c>
      <c r="D259" t="inlineStr">
        <is>
          <t xml:space="preserve">Reed Briggs  </t>
        </is>
      </c>
      <c r="E259" t="inlineStr">
        <is>
          <t xml:space="preserve">East Ridge Valley School  </t>
        </is>
      </c>
      <c r="F259" t="inlineStr">
        <is>
          <t>D2</t>
        </is>
      </c>
      <c r="G259" t="n">
        <v>6</v>
      </c>
      <c r="H259" s="3" t="n"/>
    </row>
    <row r="260" ht="15.75" customHeight="1">
      <c r="A260" s="1" t="inlineStr">
        <is>
          <t>Azurefen_City</t>
        </is>
      </c>
      <c r="B260" t="n">
        <v>55755</v>
      </c>
      <c r="C260" t="inlineStr">
        <is>
          <t xml:space="preserve">The Bot‑tomless Pits  </t>
        </is>
      </c>
      <c r="D260" t="inlineStr">
        <is>
          <t xml:space="preserve">Soren Harlan  </t>
        </is>
      </c>
      <c r="E260" t="inlineStr">
        <is>
          <t xml:space="preserve">Westshore Ridge Academy  </t>
        </is>
      </c>
      <c r="F260" t="inlineStr">
        <is>
          <t>D2</t>
        </is>
      </c>
      <c r="G260" t="n">
        <v>5</v>
      </c>
      <c r="H260" s="3" t="n"/>
    </row>
    <row r="261" ht="15.75" customHeight="1">
      <c r="A261" s="1" t="inlineStr">
        <is>
          <t>Azurefen_City</t>
        </is>
      </c>
      <c r="B261" t="n">
        <v>59752</v>
      </c>
      <c r="C261" t="inlineStr">
        <is>
          <t xml:space="preserve">The Mech‑a‑Mites  </t>
        </is>
      </c>
      <c r="D261" t="inlineStr">
        <is>
          <t xml:space="preserve">Thane Everett  </t>
        </is>
      </c>
      <c r="E261" t="inlineStr">
        <is>
          <t xml:space="preserve">Hillview Ridge School  </t>
        </is>
      </c>
      <c r="F261" t="inlineStr">
        <is>
          <t>D2</t>
        </is>
      </c>
      <c r="G261" t="n">
        <v>4</v>
      </c>
      <c r="H261" s="3" t="n"/>
    </row>
    <row r="262" ht="15.75" customHeight="1">
      <c r="A262" s="1" t="inlineStr">
        <is>
          <t>Azurefen_City</t>
        </is>
      </c>
      <c r="B262" t="n">
        <v>61414</v>
      </c>
      <c r="C262" t="inlineStr">
        <is>
          <t xml:space="preserve">The Brick‑O‑Ramas  </t>
        </is>
      </c>
      <c r="D262" t="inlineStr">
        <is>
          <t xml:space="preserve">Upton Chandler  </t>
        </is>
      </c>
      <c r="E262" t="inlineStr">
        <is>
          <t xml:space="preserve">Lighthouse Creek Ridge Academy  </t>
        </is>
      </c>
      <c r="F262" t="inlineStr">
        <is>
          <t>D2</t>
        </is>
      </c>
      <c r="G262" t="n">
        <v>10</v>
      </c>
      <c r="H262" s="3" t="n"/>
    </row>
    <row r="263" ht="15.75" customHeight="1">
      <c r="A263" s="1" t="inlineStr">
        <is>
          <t>Azurefen_City</t>
        </is>
      </c>
      <c r="B263" t="n">
        <v>63324</v>
      </c>
      <c r="C263" t="inlineStr">
        <is>
          <t xml:space="preserve">The Robo‑Rangers  </t>
        </is>
      </c>
      <c r="D263" t="inlineStr">
        <is>
          <t xml:space="preserve">Vail Pierce  </t>
        </is>
      </c>
      <c r="E263" t="inlineStr">
        <is>
          <t xml:space="preserve">Greenwood Ridge Preparatory  </t>
        </is>
      </c>
      <c r="F263" t="inlineStr">
        <is>
          <t>D2</t>
        </is>
      </c>
      <c r="G263" t="n">
        <v>6</v>
      </c>
      <c r="H263" s="3" t="n"/>
    </row>
    <row r="264" ht="15.75" customHeight="1">
      <c r="A264" s="1" t="inlineStr">
        <is>
          <t>Azurefen_City</t>
        </is>
      </c>
      <c r="B264" t="n">
        <v>63328</v>
      </c>
      <c r="C264" t="inlineStr">
        <is>
          <t xml:space="preserve">The Bot‑tomless Bots  </t>
        </is>
      </c>
      <c r="D264" t="inlineStr">
        <is>
          <t xml:space="preserve">Witt Rhodes  </t>
        </is>
      </c>
      <c r="E264" t="inlineStr">
        <is>
          <t xml:space="preserve">Lakecrest Ridge Academy  </t>
        </is>
      </c>
      <c r="F264" t="inlineStr">
        <is>
          <t>D2</t>
        </is>
      </c>
      <c r="G264" t="n">
        <v>3</v>
      </c>
      <c r="H264" s="3" t="n"/>
    </row>
    <row r="265" ht="15.75" customHeight="1">
      <c r="A265" s="1" t="inlineStr">
        <is>
          <t>Azurefen_City</t>
        </is>
      </c>
      <c r="B265" t="n">
        <v>63819</v>
      </c>
      <c r="C265" t="inlineStr">
        <is>
          <t xml:space="preserve">The Mech‑a‑Makers  </t>
        </is>
      </c>
      <c r="D265" t="inlineStr">
        <is>
          <t xml:space="preserve">Xavi Foster  </t>
        </is>
      </c>
      <c r="E265" t="inlineStr">
        <is>
          <t xml:space="preserve">Mountain View Ridge School  </t>
        </is>
      </c>
      <c r="F265" t="inlineStr">
        <is>
          <t>D2</t>
        </is>
      </c>
      <c r="G265" t="n">
        <v>10</v>
      </c>
      <c r="H265" s="3" t="n"/>
    </row>
    <row r="266" ht="15.75" customHeight="1">
      <c r="A266" s="1" t="inlineStr">
        <is>
          <t>Azurefen_City</t>
        </is>
      </c>
      <c r="B266" t="n">
        <v>66660</v>
      </c>
      <c r="C266" t="inlineStr">
        <is>
          <t xml:space="preserve">The Circuit Squirrels  </t>
        </is>
      </c>
      <c r="D266" t="inlineStr">
        <is>
          <t xml:space="preserve">Yann Dalton  </t>
        </is>
      </c>
      <c r="E266" t="inlineStr">
        <is>
          <t xml:space="preserve">Willow Ridge Preparatory  </t>
        </is>
      </c>
      <c r="F266" t="inlineStr">
        <is>
          <t>D2</t>
        </is>
      </c>
      <c r="G266" t="n">
        <v>3</v>
      </c>
      <c r="H266" s="3" t="n"/>
    </row>
    <row r="267" ht="15.75" customHeight="1">
      <c r="A267" s="1" t="inlineStr">
        <is>
          <t>Azurefen_City</t>
        </is>
      </c>
      <c r="B267" t="n">
        <v>66872</v>
      </c>
      <c r="C267" t="inlineStr">
        <is>
          <t xml:space="preserve">The Gear‑ish Gators  </t>
        </is>
      </c>
      <c r="D267" t="inlineStr">
        <is>
          <t xml:space="preserve">Zion Harmon  </t>
        </is>
      </c>
      <c r="E267" t="inlineStr">
        <is>
          <t xml:space="preserve">Brookhaven Ridge Academy  </t>
        </is>
      </c>
      <c r="F267" t="inlineStr">
        <is>
          <t>D2</t>
        </is>
      </c>
      <c r="G267" t="n">
        <v>7</v>
      </c>
      <c r="H267" s="3" t="n"/>
    </row>
    <row r="268" ht="15.75" customHeight="1">
      <c r="A268" s="1" t="inlineStr">
        <is>
          <t>Azurefen_City</t>
        </is>
      </c>
      <c r="B268" t="n">
        <v>67042</v>
      </c>
      <c r="C268" t="inlineStr">
        <is>
          <t xml:space="preserve">The Bot‑tomless Wonders  </t>
        </is>
      </c>
      <c r="D268" t="inlineStr">
        <is>
          <t xml:space="preserve">Ames Everett  </t>
        </is>
      </c>
      <c r="E268" t="inlineStr">
        <is>
          <t xml:space="preserve">Clearbrook Ridge School  </t>
        </is>
      </c>
      <c r="F268" t="inlineStr">
        <is>
          <t>D2</t>
        </is>
      </c>
      <c r="G268" t="n">
        <v>8</v>
      </c>
      <c r="H268" s="3" t="n"/>
    </row>
    <row r="269" ht="15.75" customHeight="1">
      <c r="A269" s="1" t="inlineStr">
        <is>
          <t>Azurefen_City</t>
        </is>
      </c>
      <c r="B269" t="n">
        <v>71453</v>
      </c>
      <c r="C269" t="inlineStr">
        <is>
          <t xml:space="preserve">The Mech‑a‑Minds  </t>
        </is>
      </c>
      <c r="D269" t="inlineStr">
        <is>
          <t xml:space="preserve">Breck Chandler  </t>
        </is>
      </c>
      <c r="E269" t="inlineStr">
        <is>
          <t xml:space="preserve">Evergreen Crest Ridge Academy  </t>
        </is>
      </c>
      <c r="F269" t="inlineStr">
        <is>
          <t>D2</t>
        </is>
      </c>
      <c r="G269" t="n">
        <v>8</v>
      </c>
      <c r="H269" s="3" t="n"/>
    </row>
    <row r="270" ht="15.75" customHeight="1">
      <c r="A270" s="1" t="inlineStr">
        <is>
          <t>Azurefen_City</t>
        </is>
      </c>
      <c r="B270" t="n">
        <v>71950</v>
      </c>
      <c r="C270" t="inlineStr">
        <is>
          <t xml:space="preserve">The Brick‑O‑Bots  </t>
        </is>
      </c>
      <c r="D270" t="inlineStr">
        <is>
          <t xml:space="preserve">Cato Pierce  </t>
        </is>
      </c>
      <c r="E270" t="inlineStr">
        <is>
          <t xml:space="preserve">Highland Grove Ridge School  </t>
        </is>
      </c>
      <c r="F270" t="inlineStr">
        <is>
          <t>D2</t>
        </is>
      </c>
      <c r="G270" t="n">
        <v>4</v>
      </c>
      <c r="H270" s="3" t="n"/>
    </row>
    <row r="271" ht="15.75" customHeight="1">
      <c r="A271" s="1" t="inlineStr">
        <is>
          <t>Azurefen_City</t>
        </is>
      </c>
      <c r="B271" t="n">
        <v>72386</v>
      </c>
      <c r="C271" t="inlineStr">
        <is>
          <t xml:space="preserve">The Robo‑Rascals  </t>
        </is>
      </c>
      <c r="D271" t="inlineStr">
        <is>
          <t xml:space="preserve">Dax Rhodes  </t>
        </is>
      </c>
      <c r="E271" t="inlineStr">
        <is>
          <t xml:space="preserve">Valley Ridge Springs Academy  </t>
        </is>
      </c>
      <c r="F271" t="inlineStr">
        <is>
          <t>D2</t>
        </is>
      </c>
      <c r="G271" t="n">
        <v>2</v>
      </c>
      <c r="H271" s="3" t="n"/>
    </row>
    <row r="272" ht="15.75" customHeight="1">
      <c r="A272" s="1" t="inlineStr">
        <is>
          <t>Azurefen_City</t>
        </is>
      </c>
      <c r="B272" t="n">
        <v>74396</v>
      </c>
      <c r="C272" t="inlineStr">
        <is>
          <t xml:space="preserve">The Bot‑tomless Crew  </t>
        </is>
      </c>
      <c r="D272" t="inlineStr">
        <is>
          <t xml:space="preserve">Eli Foster  </t>
        </is>
      </c>
      <c r="E272" t="inlineStr">
        <is>
          <t xml:space="preserve">Sunset Valley Springs School  </t>
        </is>
      </c>
      <c r="F272" t="inlineStr">
        <is>
          <t>D2</t>
        </is>
      </c>
      <c r="G272" t="n">
        <v>10</v>
      </c>
      <c r="H272" s="3" t="n"/>
    </row>
    <row r="273" ht="15.75" customHeight="1">
      <c r="A273" s="1" t="inlineStr">
        <is>
          <t>Redspire_Bluff</t>
        </is>
      </c>
      <c r="B273" t="n">
        <v>27851</v>
      </c>
      <c r="C273" t="inlineStr">
        <is>
          <t xml:space="preserve">The Mech‑a‑Masters  </t>
        </is>
      </c>
      <c r="D273" t="inlineStr">
        <is>
          <t xml:space="preserve">Finn Dalton  </t>
        </is>
      </c>
      <c r="E273" t="inlineStr">
        <is>
          <t xml:space="preserve">Canyon Brook Ridge Academy  </t>
        </is>
      </c>
      <c r="F273" t="inlineStr">
        <is>
          <t>D1</t>
        </is>
      </c>
      <c r="G273" t="n">
        <v>4</v>
      </c>
      <c r="H273" s="3" t="n"/>
    </row>
    <row r="274" ht="15.75" customHeight="1">
      <c r="A274" s="1" t="inlineStr">
        <is>
          <t>Redspire_Bluff</t>
        </is>
      </c>
      <c r="B274" t="n">
        <v>38363</v>
      </c>
      <c r="C274" t="inlineStr">
        <is>
          <t xml:space="preserve">The Circuit Sprockets  </t>
        </is>
      </c>
      <c r="D274" t="inlineStr">
        <is>
          <t xml:space="preserve">Graham Harmon  </t>
        </is>
      </c>
      <c r="E274" t="inlineStr">
        <is>
          <t xml:space="preserve">Forest Creek Ridge School  </t>
        </is>
      </c>
      <c r="F274" t="inlineStr">
        <is>
          <t>D1</t>
        </is>
      </c>
      <c r="G274" t="n">
        <v>6</v>
      </c>
      <c r="H274" s="3" t="n"/>
    </row>
    <row r="275" ht="15.75" customHeight="1">
      <c r="A275" s="1" t="inlineStr">
        <is>
          <t>Redspire_Bluff</t>
        </is>
      </c>
      <c r="B275" t="n">
        <v>44869</v>
      </c>
      <c r="C275" t="inlineStr">
        <is>
          <t xml:space="preserve">The Gear‑ish Gangsters  </t>
        </is>
      </c>
      <c r="D275" t="inlineStr">
        <is>
          <t xml:space="preserve">Holt Everett  </t>
        </is>
      </c>
      <c r="E275" t="inlineStr">
        <is>
          <t xml:space="preserve">Silver Valley Ridge Academy  </t>
        </is>
      </c>
      <c r="F275" t="inlineStr">
        <is>
          <t>D1</t>
        </is>
      </c>
      <c r="G275" t="n">
        <v>4</v>
      </c>
      <c r="H275" s="3" t="n"/>
    </row>
    <row r="276" ht="15.75" customHeight="1">
      <c r="A276" s="1" t="inlineStr">
        <is>
          <t>Redspire_Bluff</t>
        </is>
      </c>
      <c r="B276" t="n">
        <v>63330</v>
      </c>
      <c r="C276" t="inlineStr">
        <is>
          <t xml:space="preserve">The Bot‑tomless Engineers  </t>
        </is>
      </c>
      <c r="D276" t="inlineStr">
        <is>
          <t xml:space="preserve">Ives Chandler  </t>
        </is>
      </c>
      <c r="E276" t="inlineStr">
        <is>
          <t xml:space="preserve">Twin Rivers Ridge Preparatory  </t>
        </is>
      </c>
      <c r="F276" t="inlineStr">
        <is>
          <t>D1</t>
        </is>
      </c>
      <c r="G276" t="n">
        <v>7</v>
      </c>
      <c r="H276" s="3" t="n"/>
    </row>
    <row r="277" ht="15.75" customHeight="1">
      <c r="A277" s="1" t="inlineStr">
        <is>
          <t>Redspire_Bluff</t>
        </is>
      </c>
      <c r="B277" t="n">
        <v>65189</v>
      </c>
      <c r="C277" t="inlineStr">
        <is>
          <t xml:space="preserve">The Mech‑a‑Mechanics  </t>
        </is>
      </c>
      <c r="D277" t="inlineStr">
        <is>
          <t xml:space="preserve">Judd Pierce  </t>
        </is>
      </c>
      <c r="E277" t="inlineStr">
        <is>
          <t xml:space="preserve">Meadow Glen Ridge School  </t>
        </is>
      </c>
      <c r="F277" t="inlineStr">
        <is>
          <t>D1</t>
        </is>
      </c>
      <c r="G277" t="n">
        <v>5</v>
      </c>
      <c r="H277" s="3" t="n"/>
    </row>
    <row r="278" ht="15.75" customHeight="1">
      <c r="A278" s="1" t="inlineStr">
        <is>
          <t>Redspire_Bluff</t>
        </is>
      </c>
      <c r="B278" t="n">
        <v>65209</v>
      </c>
      <c r="C278" t="inlineStr">
        <is>
          <t xml:space="preserve">The Brick‑O‑Builders  </t>
        </is>
      </c>
      <c r="D278" t="inlineStr">
        <is>
          <t xml:space="preserve">Kane Rhodes  </t>
        </is>
      </c>
      <c r="E278" t="inlineStr">
        <is>
          <t xml:space="preserve">Skyview Ridge Preparatory  </t>
        </is>
      </c>
      <c r="F278" t="inlineStr">
        <is>
          <t>D1</t>
        </is>
      </c>
      <c r="G278" t="n">
        <v>10</v>
      </c>
      <c r="H278" s="3" t="n"/>
    </row>
    <row r="279" ht="15.75" customHeight="1">
      <c r="A279" s="1" t="inlineStr">
        <is>
          <t>Redspire_Bluff</t>
        </is>
      </c>
      <c r="B279" t="n">
        <v>65235</v>
      </c>
      <c r="C279" t="inlineStr">
        <is>
          <t xml:space="preserve">The Robo‑Rookies  </t>
        </is>
      </c>
      <c r="D279" t="inlineStr">
        <is>
          <t xml:space="preserve">Liam Foster  </t>
        </is>
      </c>
      <c r="E279" t="inlineStr">
        <is>
          <t xml:space="preserve">Liberty Springs Ridge School  </t>
        </is>
      </c>
      <c r="F279" t="inlineStr">
        <is>
          <t>D1</t>
        </is>
      </c>
      <c r="G279" t="n">
        <v>5</v>
      </c>
      <c r="H279" s="3" t="n"/>
    </row>
    <row r="280" ht="15.75" customHeight="1">
      <c r="A280" s="1" t="inlineStr">
        <is>
          <t>Redspire_Bluff</t>
        </is>
      </c>
      <c r="B280" t="n">
        <v>65944</v>
      </c>
      <c r="C280" t="inlineStr">
        <is>
          <t xml:space="preserve">The Bot‑tomless Thinkers  </t>
        </is>
      </c>
      <c r="D280" t="inlineStr">
        <is>
          <t xml:space="preserve">Merritt Maddox  </t>
        </is>
      </c>
      <c r="E280" t="inlineStr">
        <is>
          <t xml:space="preserve">Heritage Ridge Valley Academy  </t>
        </is>
      </c>
      <c r="F280" t="inlineStr">
        <is>
          <t>D1</t>
        </is>
      </c>
      <c r="G280" t="n">
        <v>6</v>
      </c>
      <c r="H280" s="3" t="n"/>
    </row>
    <row r="281" ht="15.75" customHeight="1">
      <c r="A281" s="1" t="inlineStr">
        <is>
          <t>Redspire_Bluff</t>
        </is>
      </c>
      <c r="B281" t="n">
        <v>65945</v>
      </c>
      <c r="C281" t="inlineStr">
        <is>
          <t xml:space="preserve">The Mech‑a‑Magicians  </t>
        </is>
      </c>
      <c r="D281" t="inlineStr">
        <is>
          <t xml:space="preserve">Nico Shaw  </t>
        </is>
      </c>
      <c r="E281" t="inlineStr">
        <is>
          <t xml:space="preserve">Pioneer Grove Ridge School  </t>
        </is>
      </c>
      <c r="F281" t="inlineStr">
        <is>
          <t>D1</t>
        </is>
      </c>
      <c r="G281" t="n">
        <v>7</v>
      </c>
      <c r="H281" s="3" t="n"/>
    </row>
    <row r="282" ht="15.75" customHeight="1">
      <c r="A282" s="1" t="inlineStr">
        <is>
          <t>Redspire_Bluff</t>
        </is>
      </c>
      <c r="B282" t="n">
        <v>67025</v>
      </c>
      <c r="C282" t="inlineStr">
        <is>
          <t xml:space="preserve">AstroBots  </t>
        </is>
      </c>
      <c r="D282" t="inlineStr">
        <is>
          <t xml:space="preserve">Owen Turner  </t>
        </is>
      </c>
      <c r="E282" t="inlineStr">
        <is>
          <t xml:space="preserve">Aspen Valley Ridge Academy  </t>
        </is>
      </c>
      <c r="F282" t="inlineStr">
        <is>
          <t>D1</t>
        </is>
      </c>
      <c r="G282" t="n">
        <v>9</v>
      </c>
      <c r="H282" s="3" t="n"/>
    </row>
    <row r="283" ht="15.75" customHeight="1">
      <c r="A283" s="1" t="inlineStr">
        <is>
          <t>Redspire_Bluff</t>
        </is>
      </c>
      <c r="B283" t="n">
        <v>67049</v>
      </c>
      <c r="C283" t="inlineStr">
        <is>
          <t xml:space="preserve">Cosmic Coders  </t>
        </is>
      </c>
      <c r="D283" t="inlineStr">
        <is>
          <t xml:space="preserve">Parker Mercer  </t>
        </is>
      </c>
      <c r="E283" t="inlineStr">
        <is>
          <t xml:space="preserve">Cedar Springs Ridge Academy  </t>
        </is>
      </c>
      <c r="F283" t="inlineStr">
        <is>
          <t>D1</t>
        </is>
      </c>
      <c r="G283" t="n">
        <v>9</v>
      </c>
      <c r="H283" s="3" t="n"/>
    </row>
    <row r="284" ht="15.75" customHeight="1">
      <c r="A284" s="1" t="inlineStr">
        <is>
          <t>Redspire_Bluff</t>
        </is>
      </c>
      <c r="B284" t="n">
        <v>67463</v>
      </c>
      <c r="C284" t="inlineStr">
        <is>
          <t xml:space="preserve">Galactic Gears  </t>
        </is>
      </c>
      <c r="D284" t="inlineStr">
        <is>
          <t xml:space="preserve">Quade Barrett  </t>
        </is>
      </c>
      <c r="E284" t="inlineStr">
        <is>
          <t xml:space="preserve">Maple Grove Ridge Academy  </t>
        </is>
      </c>
      <c r="F284" t="inlineStr">
        <is>
          <t>D1</t>
        </is>
      </c>
      <c r="G284" t="n">
        <v>7</v>
      </c>
      <c r="H284" s="3" t="n"/>
    </row>
    <row r="285" ht="15.75" customHeight="1">
      <c r="A285" s="1" t="inlineStr">
        <is>
          <t>Redspire_Bluff</t>
        </is>
      </c>
      <c r="B285" t="n">
        <v>67984</v>
      </c>
      <c r="C285" t="inlineStr">
        <is>
          <t xml:space="preserve">Nebula Navigators  </t>
        </is>
      </c>
      <c r="D285" t="inlineStr">
        <is>
          <t xml:space="preserve">Rhett Briggs  </t>
        </is>
      </c>
      <c r="E285" t="inlineStr">
        <is>
          <t xml:space="preserve">Rivercrest Ridge School  </t>
        </is>
      </c>
      <c r="F285" t="inlineStr">
        <is>
          <t>D1</t>
        </is>
      </c>
      <c r="G285" t="n">
        <v>10</v>
      </c>
      <c r="H285" s="3" t="n"/>
    </row>
    <row r="286" ht="15.75" customHeight="1">
      <c r="A286" s="1" t="inlineStr">
        <is>
          <t>Redspire_Bluff</t>
        </is>
      </c>
      <c r="B286" t="n">
        <v>72220</v>
      </c>
      <c r="C286" t="inlineStr">
        <is>
          <t xml:space="preserve">Starship Sprockets  </t>
        </is>
      </c>
      <c r="D286" t="inlineStr">
        <is>
          <t xml:space="preserve">Silas Harlan  </t>
        </is>
      </c>
      <c r="E286" t="inlineStr">
        <is>
          <t xml:space="preserve">Bright Ridge Preparatory  </t>
        </is>
      </c>
      <c r="F286" t="inlineStr">
        <is>
          <t>D1</t>
        </is>
      </c>
      <c r="G286" t="n">
        <v>8</v>
      </c>
      <c r="H286" s="3" t="n"/>
    </row>
    <row r="287" ht="15.75" customHeight="1">
      <c r="A287" s="1" t="inlineStr">
        <is>
          <t>Redspire_Bluff</t>
        </is>
      </c>
      <c r="B287" t="n">
        <v>2673</v>
      </c>
      <c r="C287" t="inlineStr">
        <is>
          <t xml:space="preserve">Lunar Logic  </t>
        </is>
      </c>
      <c r="D287" t="inlineStr">
        <is>
          <t xml:space="preserve">Troy Everett  </t>
        </is>
      </c>
      <c r="E287" t="inlineStr">
        <is>
          <t xml:space="preserve">Northcrest Ridge Academy  </t>
        </is>
      </c>
      <c r="F287" t="inlineStr">
        <is>
          <t>D2</t>
        </is>
      </c>
      <c r="G287" t="n">
        <v>7</v>
      </c>
      <c r="H287" s="3" t="n"/>
    </row>
    <row r="288" ht="15.75" customHeight="1">
      <c r="A288" s="1" t="inlineStr">
        <is>
          <t>Redspire_Bluff</t>
        </is>
      </c>
      <c r="B288" t="n">
        <v>40815</v>
      </c>
      <c r="C288" t="inlineStr">
        <is>
          <t xml:space="preserve">Mars Mechanics  </t>
        </is>
      </c>
      <c r="D288" t="inlineStr">
        <is>
          <t xml:space="preserve">Umar Chandler  </t>
        </is>
      </c>
      <c r="E288" t="inlineStr">
        <is>
          <t xml:space="preserve">South Valley Ridge School  </t>
        </is>
      </c>
      <c r="F288" t="inlineStr">
        <is>
          <t>D2</t>
        </is>
      </c>
      <c r="G288" t="n">
        <v>10</v>
      </c>
      <c r="H288" s="3" t="n"/>
    </row>
    <row r="289" ht="15.75" customHeight="1">
      <c r="A289" s="1" t="inlineStr">
        <is>
          <t>Redspire_Bluff</t>
        </is>
      </c>
      <c r="B289" t="n">
        <v>45035</v>
      </c>
      <c r="C289" t="inlineStr">
        <is>
          <t xml:space="preserve">Orbit Operators  </t>
        </is>
      </c>
      <c r="D289" t="inlineStr">
        <is>
          <t xml:space="preserve">Vern Pierce  </t>
        </is>
      </c>
      <c r="E289" t="inlineStr">
        <is>
          <t xml:space="preserve">Eastbrook Ridge Preparatory  </t>
        </is>
      </c>
      <c r="F289" t="inlineStr">
        <is>
          <t>D2</t>
        </is>
      </c>
      <c r="G289" t="n">
        <v>10</v>
      </c>
      <c r="H289" s="3" t="n"/>
    </row>
    <row r="290" ht="15.75" customHeight="1">
      <c r="A290" s="1" t="inlineStr">
        <is>
          <t>Redspire_Bluff</t>
        </is>
      </c>
      <c r="B290" t="n">
        <v>60334</v>
      </c>
      <c r="C290" t="inlineStr">
        <is>
          <t xml:space="preserve">Comet Coders  </t>
        </is>
      </c>
      <c r="D290" t="inlineStr">
        <is>
          <t xml:space="preserve">Wade Rhodes  </t>
        </is>
      </c>
      <c r="E290" t="inlineStr">
        <is>
          <t xml:space="preserve">Westgate Ridge Academy  </t>
        </is>
      </c>
      <c r="F290" t="inlineStr">
        <is>
          <t>D2</t>
        </is>
      </c>
      <c r="G290" t="n">
        <v>5</v>
      </c>
      <c r="H290" s="3" t="n"/>
    </row>
    <row r="291" ht="15.75" customHeight="1">
      <c r="A291" s="1" t="inlineStr">
        <is>
          <t>Redspire_Bluff</t>
        </is>
      </c>
      <c r="B291" t="n">
        <v>63323</v>
      </c>
      <c r="C291" t="inlineStr">
        <is>
          <t xml:space="preserve">Meteor Mechanics  </t>
        </is>
      </c>
      <c r="D291" t="inlineStr">
        <is>
          <t xml:space="preserve">Xander Foster  </t>
        </is>
      </c>
      <c r="E291" t="inlineStr">
        <is>
          <t xml:space="preserve">Hillbrook Ridge School  </t>
        </is>
      </c>
      <c r="F291" t="inlineStr">
        <is>
          <t>D2</t>
        </is>
      </c>
      <c r="G291" t="n">
        <v>4</v>
      </c>
      <c r="H291" s="3" t="n"/>
    </row>
    <row r="292" ht="15.75" customHeight="1">
      <c r="A292" s="1" t="inlineStr">
        <is>
          <t>Redspire_Bluff</t>
        </is>
      </c>
      <c r="B292" t="n">
        <v>63326</v>
      </c>
      <c r="C292" t="inlineStr">
        <is>
          <t xml:space="preserve">Astro Engineers  </t>
        </is>
      </c>
      <c r="D292" t="inlineStr">
        <is>
          <t xml:space="preserve">Yuri Dalton  </t>
        </is>
      </c>
      <c r="E292" t="inlineStr">
        <is>
          <t xml:space="preserve">Lighthouse Meadow Ridge Academy  </t>
        </is>
      </c>
      <c r="F292" t="inlineStr">
        <is>
          <t>D2</t>
        </is>
      </c>
      <c r="G292" t="n">
        <v>5</v>
      </c>
      <c r="H292" s="3" t="n"/>
    </row>
    <row r="293" ht="15.75" customHeight="1">
      <c r="A293" s="1" t="inlineStr">
        <is>
          <t>Redspire_Bluff</t>
        </is>
      </c>
      <c r="B293" t="n">
        <v>67136</v>
      </c>
      <c r="C293" t="inlineStr">
        <is>
          <t xml:space="preserve">Cosmic Circuits  </t>
        </is>
      </c>
      <c r="D293" t="inlineStr">
        <is>
          <t xml:space="preserve">Zane Harmon  </t>
        </is>
      </c>
      <c r="E293" t="inlineStr">
        <is>
          <t xml:space="preserve">Green Hills Ridge School  </t>
        </is>
      </c>
      <c r="F293" t="inlineStr">
        <is>
          <t>D2</t>
        </is>
      </c>
      <c r="G293" t="n">
        <v>10</v>
      </c>
      <c r="H293" s="3" t="n"/>
    </row>
    <row r="294" ht="15.75" customHeight="1">
      <c r="A294" s="1" t="inlineStr">
        <is>
          <t>Redspire_Bluff</t>
        </is>
      </c>
      <c r="B294" t="n">
        <v>70799</v>
      </c>
      <c r="C294" t="inlineStr">
        <is>
          <t xml:space="preserve">Galactic Gamers  </t>
        </is>
      </c>
      <c r="D294" t="inlineStr">
        <is>
          <t xml:space="preserve">Alden Everett  </t>
        </is>
      </c>
      <c r="E294" t="inlineStr">
        <is>
          <t xml:space="preserve">Lake Ridge Springs Academy  </t>
        </is>
      </c>
      <c r="F294" t="inlineStr">
        <is>
          <t>D2</t>
        </is>
      </c>
      <c r="G294" t="n">
        <v>3</v>
      </c>
      <c r="H294" s="3" t="n"/>
    </row>
    <row r="295" ht="15.75" customHeight="1">
      <c r="A295" s="1" t="inlineStr">
        <is>
          <t>Redspire_Bluff</t>
        </is>
      </c>
      <c r="B295" t="n">
        <v>70816</v>
      </c>
      <c r="C295" t="inlineStr">
        <is>
          <t xml:space="preserve">Nebula Nerds  </t>
        </is>
      </c>
      <c r="D295" t="inlineStr">
        <is>
          <t xml:space="preserve">Baron Chandler  </t>
        </is>
      </c>
      <c r="E295" t="inlineStr">
        <is>
          <t xml:space="preserve">Mountain Springs Ridge School  </t>
        </is>
      </c>
      <c r="F295" t="inlineStr">
        <is>
          <t>D2</t>
        </is>
      </c>
      <c r="G295" t="n">
        <v>7</v>
      </c>
      <c r="H295" s="3" t="n"/>
    </row>
    <row r="296" ht="15.75" customHeight="1">
      <c r="A296" s="1" t="inlineStr">
        <is>
          <t>Redspire_Bluff</t>
        </is>
      </c>
      <c r="B296" t="n">
        <v>72281</v>
      </c>
      <c r="C296" t="inlineStr">
        <is>
          <t xml:space="preserve">Starship Scientists  </t>
        </is>
      </c>
      <c r="D296" t="inlineStr">
        <is>
          <t xml:space="preserve">Cyrus Pierce  </t>
        </is>
      </c>
      <c r="E296" t="inlineStr">
        <is>
          <t xml:space="preserve">Willow Valley Ridge Academy  </t>
        </is>
      </c>
      <c r="F296" t="inlineStr">
        <is>
          <t>D2</t>
        </is>
      </c>
      <c r="G296" t="n">
        <v>2</v>
      </c>
      <c r="H296" s="3" t="n"/>
    </row>
    <row r="297" ht="15.75" customHeight="1">
      <c r="A297" s="1" t="inlineStr">
        <is>
          <t>Kestrelford</t>
        </is>
      </c>
      <c r="B297" t="n">
        <v>2392</v>
      </c>
      <c r="C297" t="inlineStr">
        <is>
          <t xml:space="preserve">Lunar Legends  </t>
        </is>
      </c>
      <c r="D297" t="inlineStr">
        <is>
          <t xml:space="preserve">Dorian Rhodes  </t>
        </is>
      </c>
      <c r="E297" t="inlineStr">
        <is>
          <t xml:space="preserve">Brookstone Ridge School  </t>
        </is>
      </c>
      <c r="F297" t="inlineStr">
        <is>
          <t>D1</t>
        </is>
      </c>
      <c r="G297" t="n">
        <v>6</v>
      </c>
      <c r="H297" s="3" t="n"/>
    </row>
    <row r="298" ht="15.75" customHeight="1">
      <c r="A298" s="1" t="inlineStr">
        <is>
          <t>Kestrelford</t>
        </is>
      </c>
      <c r="B298" t="n">
        <v>10157</v>
      </c>
      <c r="C298" t="inlineStr">
        <is>
          <t xml:space="preserve">Mars Mavericks  </t>
        </is>
      </c>
      <c r="D298" t="inlineStr">
        <is>
          <t xml:space="preserve">Eamon Foster  </t>
        </is>
      </c>
      <c r="E298" t="inlineStr">
        <is>
          <t xml:space="preserve">Clearwater Ridge Preparatory  </t>
        </is>
      </c>
      <c r="F298" t="inlineStr">
        <is>
          <t>D1</t>
        </is>
      </c>
      <c r="G298" t="n">
        <v>6</v>
      </c>
      <c r="H298" s="3" t="n"/>
    </row>
    <row r="299" ht="15.75" customHeight="1">
      <c r="A299" s="1" t="inlineStr">
        <is>
          <t>Kestrelford</t>
        </is>
      </c>
      <c r="B299" t="n">
        <v>10159</v>
      </c>
      <c r="C299" t="inlineStr">
        <is>
          <t xml:space="preserve">Orbit Optimizers  </t>
        </is>
      </c>
      <c r="D299" t="inlineStr">
        <is>
          <t xml:space="preserve">Foster Dalton  </t>
        </is>
      </c>
      <c r="E299" t="inlineStr">
        <is>
          <t xml:space="preserve">Evergreen Meadow Ridge School  </t>
        </is>
      </c>
      <c r="F299" t="inlineStr">
        <is>
          <t>D1</t>
        </is>
      </c>
      <c r="G299" t="n">
        <v>6</v>
      </c>
      <c r="H299" s="3" t="n"/>
    </row>
    <row r="300" ht="15.75" customHeight="1">
      <c r="A300" s="1" t="inlineStr">
        <is>
          <t>Kestrelford</t>
        </is>
      </c>
      <c r="B300" t="n">
        <v>10321</v>
      </c>
      <c r="C300" t="inlineStr">
        <is>
          <t xml:space="preserve">Comet Commanders  </t>
        </is>
      </c>
      <c r="D300" t="inlineStr">
        <is>
          <t xml:space="preserve">Gideon Harmon  </t>
        </is>
      </c>
      <c r="E300" t="inlineStr">
        <is>
          <t xml:space="preserve">Highland Valley Ridge Academy  </t>
        </is>
      </c>
      <c r="F300" t="inlineStr">
        <is>
          <t>D1</t>
        </is>
      </c>
      <c r="G300" t="n">
        <v>7</v>
      </c>
      <c r="H300" s="3" t="n"/>
    </row>
    <row r="301" ht="15.75" customHeight="1">
      <c r="A301" s="1" t="inlineStr">
        <is>
          <t>Kestrelford</t>
        </is>
      </c>
      <c r="B301" t="n">
        <v>12734</v>
      </c>
      <c r="C301" t="inlineStr">
        <is>
          <t xml:space="preserve">Meteor Makers  </t>
        </is>
      </c>
      <c r="D301" t="inlineStr">
        <is>
          <t xml:space="preserve">Harlan Everett  </t>
        </is>
      </c>
      <c r="E301" t="inlineStr">
        <is>
          <t xml:space="preserve">Valley Brook Ridge School  </t>
        </is>
      </c>
      <c r="F301" t="inlineStr">
        <is>
          <t>D1</t>
        </is>
      </c>
      <c r="G301" t="n">
        <v>10</v>
      </c>
      <c r="H301" s="3" t="n"/>
    </row>
    <row r="302" ht="15.75" customHeight="1">
      <c r="A302" s="1" t="inlineStr">
        <is>
          <t>Kestrelford</t>
        </is>
      </c>
      <c r="B302" t="n">
        <v>27239</v>
      </c>
      <c r="C302" t="inlineStr">
        <is>
          <t xml:space="preserve">Astro Adventurers  </t>
        </is>
      </c>
      <c r="D302" t="inlineStr">
        <is>
          <t xml:space="preserve">Iker Chandler  </t>
        </is>
      </c>
      <c r="E302" t="inlineStr">
        <is>
          <t xml:space="preserve">Sunrise Creek Ridge Academy  </t>
        </is>
      </c>
      <c r="F302" t="inlineStr">
        <is>
          <t>D1</t>
        </is>
      </c>
      <c r="G302" t="n">
        <v>8</v>
      </c>
      <c r="H302" s="3" t="n"/>
    </row>
    <row r="303" ht="15.75" customHeight="1">
      <c r="A303" s="1" t="inlineStr">
        <is>
          <t>Kestrelford</t>
        </is>
      </c>
      <c r="B303" t="n">
        <v>31289</v>
      </c>
      <c r="C303" t="inlineStr">
        <is>
          <t xml:space="preserve">Cosmic Creators  </t>
        </is>
      </c>
      <c r="D303" t="inlineStr">
        <is>
          <t xml:space="preserve">Jules Pierce  </t>
        </is>
      </c>
      <c r="E303" t="inlineStr">
        <is>
          <t xml:space="preserve">Canyon Valley Ridge School  </t>
        </is>
      </c>
      <c r="F303" t="inlineStr">
        <is>
          <t>D1</t>
        </is>
      </c>
      <c r="G303" t="n">
        <v>7</v>
      </c>
      <c r="H303" s="3" t="n"/>
    </row>
    <row r="304" ht="15.75" customHeight="1">
      <c r="A304" s="1" t="inlineStr">
        <is>
          <t>Kestrelford</t>
        </is>
      </c>
      <c r="B304" t="n">
        <v>34066</v>
      </c>
      <c r="C304" t="inlineStr">
        <is>
          <t xml:space="preserve">Galactic Guardians  </t>
        </is>
      </c>
      <c r="D304" t="inlineStr">
        <is>
          <t xml:space="preserve">Kieran Rhodes  </t>
        </is>
      </c>
      <c r="E304" t="inlineStr">
        <is>
          <t xml:space="preserve">Forest Meadow Ridge Academy  </t>
        </is>
      </c>
      <c r="F304" t="inlineStr">
        <is>
          <t>D1</t>
        </is>
      </c>
      <c r="G304" t="n">
        <v>10</v>
      </c>
      <c r="H304" s="3" t="n"/>
    </row>
    <row r="305" ht="15.75" customHeight="1">
      <c r="A305" s="1" t="inlineStr">
        <is>
          <t>Kestrelford</t>
        </is>
      </c>
      <c r="B305" t="n">
        <v>35580</v>
      </c>
      <c r="C305" t="inlineStr">
        <is>
          <t xml:space="preserve">Nebula Navigators  </t>
        </is>
      </c>
      <c r="D305" t="inlineStr">
        <is>
          <t xml:space="preserve">Lyle Foster  </t>
        </is>
      </c>
      <c r="E305" t="inlineStr">
        <is>
          <t xml:space="preserve">Silver Ridge Preparatory  </t>
        </is>
      </c>
      <c r="F305" t="inlineStr">
        <is>
          <t>D1</t>
        </is>
      </c>
      <c r="G305" t="n">
        <v>8</v>
      </c>
      <c r="H305" s="3" t="n"/>
    </row>
    <row r="306" ht="15.75" customHeight="1">
      <c r="A306" s="1" t="inlineStr">
        <is>
          <t>Kestrelford</t>
        </is>
      </c>
      <c r="B306" t="n">
        <v>37711</v>
      </c>
      <c r="C306" t="inlineStr">
        <is>
          <t xml:space="preserve">Starship Strikers  </t>
        </is>
      </c>
      <c r="D306" t="inlineStr">
        <is>
          <t xml:space="preserve">Madden Maddox  </t>
        </is>
      </c>
      <c r="E306" t="inlineStr">
        <is>
          <t xml:space="preserve">Twin Peaks Ridge School  </t>
        </is>
      </c>
      <c r="F306" t="inlineStr">
        <is>
          <t>D1</t>
        </is>
      </c>
      <c r="G306" t="n">
        <v>6</v>
      </c>
      <c r="H306" s="3" t="n"/>
    </row>
    <row r="307" ht="15.75" customHeight="1">
      <c r="A307" s="1" t="inlineStr">
        <is>
          <t>Kestrelford</t>
        </is>
      </c>
      <c r="B307" t="n">
        <v>39343</v>
      </c>
      <c r="C307" t="inlineStr">
        <is>
          <t xml:space="preserve">Lunar Launchers  </t>
        </is>
      </c>
      <c r="D307" t="inlineStr">
        <is>
          <t xml:space="preserve">Niall Shaw  </t>
        </is>
      </c>
      <c r="E307" t="inlineStr">
        <is>
          <t xml:space="preserve">Meadowbrook Ridge Preparatory  </t>
        </is>
      </c>
      <c r="F307" t="inlineStr">
        <is>
          <t>D1</t>
        </is>
      </c>
      <c r="G307" t="n">
        <v>6</v>
      </c>
      <c r="H307" s="3" t="n"/>
    </row>
    <row r="308" ht="15.75" customHeight="1">
      <c r="A308" s="1" t="inlineStr">
        <is>
          <t>Kestrelford</t>
        </is>
      </c>
      <c r="B308" t="n">
        <v>48747</v>
      </c>
      <c r="C308" t="inlineStr">
        <is>
          <t xml:space="preserve">Mars Mission  </t>
        </is>
      </c>
      <c r="D308" t="inlineStr">
        <is>
          <t xml:space="preserve">Odin Turner  </t>
        </is>
      </c>
      <c r="E308" t="inlineStr">
        <is>
          <t xml:space="preserve">Skyline Springs Ridge School  </t>
        </is>
      </c>
      <c r="F308" t="inlineStr">
        <is>
          <t>D1</t>
        </is>
      </c>
      <c r="G308" t="n">
        <v>10</v>
      </c>
      <c r="H308" s="3" t="n"/>
    </row>
    <row r="309" ht="15.75" customHeight="1">
      <c r="A309" s="1" t="inlineStr">
        <is>
          <t>Kestrelford</t>
        </is>
      </c>
      <c r="B309" t="n">
        <v>53752</v>
      </c>
      <c r="C309" t="inlineStr">
        <is>
          <t xml:space="preserve">Orbit Overlords  </t>
        </is>
      </c>
      <c r="D309" t="inlineStr">
        <is>
          <t xml:space="preserve">Pierce Mercer  </t>
        </is>
      </c>
      <c r="E309" t="inlineStr">
        <is>
          <t xml:space="preserve">Liberty Ridge Valley School  </t>
        </is>
      </c>
      <c r="F309" t="inlineStr">
        <is>
          <t>D1</t>
        </is>
      </c>
      <c r="G309" t="n">
        <v>4</v>
      </c>
      <c r="H309" s="3" t="n"/>
    </row>
    <row r="310" ht="15.75" customHeight="1">
      <c r="A310" s="1" t="inlineStr">
        <is>
          <t>Kestrelford</t>
        </is>
      </c>
      <c r="B310" t="n">
        <v>53753</v>
      </c>
      <c r="C310" t="inlineStr">
        <is>
          <t xml:space="preserve">Comet Crew  </t>
        </is>
      </c>
      <c r="D310" t="inlineStr">
        <is>
          <t xml:space="preserve">Quill Barrett  </t>
        </is>
      </c>
      <c r="E310" t="inlineStr">
        <is>
          <t xml:space="preserve">Heritage Meadow Ridge School  </t>
        </is>
      </c>
      <c r="F310" t="inlineStr">
        <is>
          <t>D1</t>
        </is>
      </c>
      <c r="G310" t="n">
        <v>3</v>
      </c>
      <c r="H310" s="3" t="n"/>
    </row>
    <row r="311" ht="15.75" customHeight="1">
      <c r="A311" s="1" t="inlineStr">
        <is>
          <t>Kestrelford</t>
        </is>
      </c>
      <c r="B311" t="n">
        <v>53754</v>
      </c>
      <c r="C311" t="inlineStr">
        <is>
          <t xml:space="preserve">Meteor Mavericks  </t>
        </is>
      </c>
      <c r="D311" t="inlineStr">
        <is>
          <t xml:space="preserve">Ridge Briggs  </t>
        </is>
      </c>
      <c r="E311" t="inlineStr">
        <is>
          <t xml:space="preserve">Pioneer Creek Ridge Academy  </t>
        </is>
      </c>
      <c r="F311" t="inlineStr">
        <is>
          <t>D1</t>
        </is>
      </c>
      <c r="G311" t="n">
        <v>4</v>
      </c>
      <c r="H311" s="3" t="n"/>
    </row>
    <row r="312" ht="15.75" customHeight="1">
      <c r="A312" s="1" t="inlineStr">
        <is>
          <t>Kestrelford</t>
        </is>
      </c>
      <c r="B312" t="n">
        <v>53755</v>
      </c>
      <c r="C312" t="inlineStr">
        <is>
          <t xml:space="preserve">Astro Architects  </t>
        </is>
      </c>
      <c r="D312" t="inlineStr">
        <is>
          <t xml:space="preserve">Stetson Harlan  </t>
        </is>
      </c>
      <c r="E312" t="inlineStr">
        <is>
          <t xml:space="preserve">Aspen Grove Ridge School  </t>
        </is>
      </c>
      <c r="F312" t="inlineStr">
        <is>
          <t>D1</t>
        </is>
      </c>
      <c r="G312" t="n">
        <v>3</v>
      </c>
      <c r="H312" s="3" t="n"/>
    </row>
    <row r="313" ht="15.75" customHeight="1">
      <c r="A313" s="1" t="inlineStr">
        <is>
          <t>Kestrelford</t>
        </is>
      </c>
      <c r="B313" t="n">
        <v>60140</v>
      </c>
      <c r="C313" t="inlineStr">
        <is>
          <t xml:space="preserve">Cosmic Constructors  </t>
        </is>
      </c>
      <c r="D313" t="inlineStr">
        <is>
          <t xml:space="preserve">Torin Everett  </t>
        </is>
      </c>
      <c r="E313" t="inlineStr">
        <is>
          <t xml:space="preserve">Cedar Valley Ridge Academy  </t>
        </is>
      </c>
      <c r="F313" t="inlineStr">
        <is>
          <t>D1</t>
        </is>
      </c>
      <c r="G313" t="n">
        <v>10</v>
      </c>
      <c r="H313" s="3" t="n"/>
    </row>
    <row r="314" ht="15.75" customHeight="1">
      <c r="A314" s="1" t="inlineStr">
        <is>
          <t>Kestrelford</t>
        </is>
      </c>
      <c r="B314" t="n">
        <v>60906</v>
      </c>
      <c r="C314" t="inlineStr">
        <is>
          <t xml:space="preserve">Galactic Gliders  </t>
        </is>
      </c>
      <c r="D314" t="inlineStr">
        <is>
          <t xml:space="preserve">Ulises Chandler  </t>
        </is>
      </c>
      <c r="E314" t="inlineStr">
        <is>
          <t xml:space="preserve">Maple Springs Ridge School  </t>
        </is>
      </c>
      <c r="F314" t="inlineStr">
        <is>
          <t>D1</t>
        </is>
      </c>
      <c r="G314" t="n">
        <v>8</v>
      </c>
      <c r="H314" s="3" t="n"/>
    </row>
    <row r="315" ht="15.75" customHeight="1">
      <c r="A315" s="1" t="inlineStr">
        <is>
          <t>Kestrelford</t>
        </is>
      </c>
      <c r="B315" t="n">
        <v>60907</v>
      </c>
      <c r="C315" t="inlineStr">
        <is>
          <t xml:space="preserve">Nebula Nomads  </t>
        </is>
      </c>
      <c r="D315" t="inlineStr">
        <is>
          <t xml:space="preserve">Vito Pierce  </t>
        </is>
      </c>
      <c r="E315" t="inlineStr">
        <is>
          <t xml:space="preserve">Riverbrook Ridge Academy  </t>
        </is>
      </c>
      <c r="F315" t="inlineStr">
        <is>
          <t>D1</t>
        </is>
      </c>
      <c r="G315" t="n">
        <v>8</v>
      </c>
      <c r="H315" s="3" t="n"/>
    </row>
    <row r="316" ht="15.75" customHeight="1">
      <c r="A316" s="1" t="inlineStr">
        <is>
          <t>Kestrelford</t>
        </is>
      </c>
      <c r="B316" t="n">
        <v>61461</v>
      </c>
      <c r="C316" t="inlineStr">
        <is>
          <t xml:space="preserve">Starship Sparks  </t>
        </is>
      </c>
      <c r="D316" t="inlineStr">
        <is>
          <t xml:space="preserve">Wes Rhodes  </t>
        </is>
      </c>
      <c r="E316" t="inlineStr">
        <is>
          <t xml:space="preserve">Bright Creek Ridge School  </t>
        </is>
      </c>
      <c r="F316" t="inlineStr">
        <is>
          <t>D1</t>
        </is>
      </c>
      <c r="G316" t="n">
        <v>4</v>
      </c>
      <c r="H316" s="3" t="n"/>
    </row>
    <row r="317" ht="15.75" customHeight="1">
      <c r="A317" s="1" t="inlineStr">
        <is>
          <t>Kestrelford</t>
        </is>
      </c>
      <c r="B317" t="n">
        <v>67022</v>
      </c>
      <c r="C317" t="inlineStr">
        <is>
          <t xml:space="preserve">Lunar Logic  </t>
        </is>
      </c>
      <c r="D317" t="inlineStr">
        <is>
          <t xml:space="preserve">Xeno Foster  </t>
        </is>
      </c>
      <c r="E317" t="inlineStr">
        <is>
          <t xml:space="preserve">Northview Ridge Academy  </t>
        </is>
      </c>
      <c r="F317" t="inlineStr">
        <is>
          <t>D1</t>
        </is>
      </c>
      <c r="G317" t="n">
        <v>7</v>
      </c>
      <c r="H317" s="3" t="n"/>
    </row>
    <row r="318" ht="15.75" customHeight="1">
      <c r="A318" s="1" t="inlineStr">
        <is>
          <t>Kestrelford</t>
        </is>
      </c>
      <c r="B318" t="n">
        <v>69306</v>
      </c>
      <c r="C318" t="inlineStr">
        <is>
          <t xml:space="preserve">Mars Mechanics  </t>
        </is>
      </c>
      <c r="D318" t="inlineStr">
        <is>
          <t xml:space="preserve">Yann Dalton  </t>
        </is>
      </c>
      <c r="E318" t="inlineStr">
        <is>
          <t xml:space="preserve">Southbrook Ridge School  </t>
        </is>
      </c>
      <c r="F318" t="inlineStr">
        <is>
          <t>D1</t>
        </is>
      </c>
      <c r="G318" t="n">
        <v>6</v>
      </c>
      <c r="H318" s="3" t="n"/>
    </row>
    <row r="319" ht="15.75" customHeight="1">
      <c r="A319" s="1" t="inlineStr">
        <is>
          <t>Kestrelford</t>
        </is>
      </c>
      <c r="B319" t="n">
        <v>72747</v>
      </c>
      <c r="C319" t="inlineStr">
        <is>
          <t xml:space="preserve">Orbit Operators  </t>
        </is>
      </c>
      <c r="D319" t="inlineStr">
        <is>
          <t xml:space="preserve">Zev Harmon  </t>
        </is>
      </c>
      <c r="E319" t="inlineStr">
        <is>
          <t xml:space="preserve">Eastgate Ridge Academy  </t>
        </is>
      </c>
      <c r="F319" t="inlineStr">
        <is>
          <t>D1</t>
        </is>
      </c>
      <c r="G319" t="n">
        <v>6</v>
      </c>
      <c r="H319" s="3" t="n"/>
    </row>
    <row r="320" ht="15.75" customHeight="1">
      <c r="A320" s="1" t="inlineStr">
        <is>
          <t>Kestrelford</t>
        </is>
      </c>
      <c r="B320" t="n">
        <v>74225</v>
      </c>
      <c r="C320" t="inlineStr">
        <is>
          <t xml:space="preserve">Comet Coders  </t>
        </is>
      </c>
      <c r="D320" t="inlineStr">
        <is>
          <t xml:space="preserve">Ari Everett  </t>
        </is>
      </c>
      <c r="E320" t="inlineStr">
        <is>
          <t xml:space="preserve">West Valley Ridge School  </t>
        </is>
      </c>
      <c r="F320" t="inlineStr">
        <is>
          <t>D1</t>
        </is>
      </c>
      <c r="G320" t="n">
        <v>6</v>
      </c>
      <c r="H320" s="3" t="n"/>
    </row>
    <row r="321" ht="15.75" customHeight="1">
      <c r="A321" s="1" t="inlineStr">
        <is>
          <t>Moonwell_Harbor</t>
        </is>
      </c>
      <c r="B321" t="n">
        <v>954</v>
      </c>
      <c r="C321" t="inlineStr">
        <is>
          <t xml:space="preserve">Meteor Mechanics  </t>
        </is>
      </c>
      <c r="D321" t="inlineStr">
        <is>
          <t xml:space="preserve">Bode Chandler  </t>
        </is>
      </c>
      <c r="E321" t="inlineStr">
        <is>
          <t xml:space="preserve">Hillstone Ridge Academy  </t>
        </is>
      </c>
      <c r="F321" t="inlineStr">
        <is>
          <t>D1</t>
        </is>
      </c>
      <c r="G321" t="n">
        <v>8</v>
      </c>
      <c r="H321" s="3" t="n"/>
    </row>
    <row r="322" ht="15.75" customHeight="1">
      <c r="A322" s="1" t="inlineStr">
        <is>
          <t>Moonwell_Harbor</t>
        </is>
      </c>
      <c r="B322" t="n">
        <v>4900</v>
      </c>
      <c r="C322" t="inlineStr">
        <is>
          <t xml:space="preserve">AstroBots United  </t>
        </is>
      </c>
      <c r="D322" t="inlineStr">
        <is>
          <t xml:space="preserve">Cian Pierce  </t>
        </is>
      </c>
      <c r="E322" t="inlineStr">
        <is>
          <t xml:space="preserve">Lighthouse Ridge Preparatory  </t>
        </is>
      </c>
      <c r="F322" t="inlineStr">
        <is>
          <t>D1</t>
        </is>
      </c>
      <c r="G322" t="n">
        <v>9</v>
      </c>
      <c r="H322" s="3" t="n"/>
    </row>
    <row r="323" ht="15.75" customHeight="1">
      <c r="A323" s="1" t="inlineStr">
        <is>
          <t>Moonwell_Harbor</t>
        </is>
      </c>
      <c r="B323" t="n">
        <v>6794</v>
      </c>
      <c r="C323" t="inlineStr">
        <is>
          <t xml:space="preserve">Cosmic Coders Crew  </t>
        </is>
      </c>
      <c r="D323" t="inlineStr">
        <is>
          <t xml:space="preserve">Dane Rhodes  </t>
        </is>
      </c>
      <c r="E323" t="inlineStr">
        <is>
          <t xml:space="preserve">Greenfield Springs Ridge School  </t>
        </is>
      </c>
      <c r="F323" t="inlineStr">
        <is>
          <t>D1</t>
        </is>
      </c>
      <c r="G323" t="n">
        <v>5</v>
      </c>
      <c r="H323" s="3" t="n"/>
    </row>
    <row r="324" ht="15.75" customHeight="1">
      <c r="A324" s="1" t="inlineStr">
        <is>
          <t>Moonwell_Harbor</t>
        </is>
      </c>
      <c r="B324" t="n">
        <v>8503</v>
      </c>
      <c r="C324" t="inlineStr">
        <is>
          <t xml:space="preserve">Galactic Gears Guild  </t>
        </is>
      </c>
      <c r="D324" t="inlineStr">
        <is>
          <t xml:space="preserve">Ewan Foster  </t>
        </is>
      </c>
      <c r="E324" t="inlineStr">
        <is>
          <t xml:space="preserve">Lakewood Ridge Preparatory  </t>
        </is>
      </c>
      <c r="F324" t="inlineStr">
        <is>
          <t>D1</t>
        </is>
      </c>
      <c r="G324" t="n">
        <v>10</v>
      </c>
      <c r="H324" s="3" t="n"/>
    </row>
    <row r="325" ht="15.75" customHeight="1">
      <c r="A325" s="1" t="inlineStr">
        <is>
          <t>Moonwell_Harbor</t>
        </is>
      </c>
      <c r="B325" t="n">
        <v>8785</v>
      </c>
      <c r="C325" t="inlineStr">
        <is>
          <t xml:space="preserve">Nebula Navigators Team  </t>
        </is>
      </c>
      <c r="D325" t="inlineStr">
        <is>
          <t xml:space="preserve">Fritz Dalton  </t>
        </is>
      </c>
      <c r="E325" t="inlineStr">
        <is>
          <t xml:space="preserve">Mountain Ridge Valley School  </t>
        </is>
      </c>
      <c r="F325" t="inlineStr">
        <is>
          <t>D1</t>
        </is>
      </c>
      <c r="G325" t="n">
        <v>10</v>
      </c>
      <c r="H325" s="3" t="n"/>
    </row>
    <row r="326" ht="15.75" customHeight="1">
      <c r="A326" s="1" t="inlineStr">
        <is>
          <t>Moonwell_Harbor</t>
        </is>
      </c>
      <c r="B326" t="n">
        <v>18589</v>
      </c>
      <c r="C326" t="inlineStr">
        <is>
          <t xml:space="preserve">Starship Sprockets Squad  </t>
        </is>
      </c>
      <c r="D326" t="inlineStr">
        <is>
          <t xml:space="preserve">Gage Harmon  </t>
        </is>
      </c>
      <c r="E326" t="inlineStr">
        <is>
          <t xml:space="preserve">Willowbrook Ridge Academy  </t>
        </is>
      </c>
      <c r="F326" t="inlineStr">
        <is>
          <t>D1</t>
        </is>
      </c>
      <c r="G326" t="n">
        <v>5</v>
      </c>
      <c r="H326" s="3" t="n"/>
    </row>
    <row r="327" ht="15.75" customHeight="1">
      <c r="A327" s="1" t="inlineStr">
        <is>
          <t>Moonwell_Harbor</t>
        </is>
      </c>
      <c r="B327" t="n">
        <v>24317</v>
      </c>
      <c r="C327" t="inlineStr">
        <is>
          <t xml:space="preserve">Lunar Legends League  </t>
        </is>
      </c>
      <c r="D327" t="inlineStr">
        <is>
          <t xml:space="preserve">Hale Everett  </t>
        </is>
      </c>
      <c r="E327" t="inlineStr">
        <is>
          <t xml:space="preserve">Brookview Ridge School  </t>
        </is>
      </c>
      <c r="F327" t="inlineStr">
        <is>
          <t>D1</t>
        </is>
      </c>
      <c r="G327" t="n">
        <v>9</v>
      </c>
      <c r="H327" s="3" t="n"/>
    </row>
    <row r="328" ht="15.75" customHeight="1">
      <c r="A328" s="1" t="inlineStr">
        <is>
          <t>Moonwell_Harbor</t>
        </is>
      </c>
      <c r="B328" t="n">
        <v>37891</v>
      </c>
      <c r="C328" t="inlineStr">
        <is>
          <t xml:space="preserve">Mars Mavericks Club  </t>
        </is>
      </c>
      <c r="D328" t="inlineStr">
        <is>
          <t xml:space="preserve">Ira Chandler  </t>
        </is>
      </c>
      <c r="E328" t="inlineStr">
        <is>
          <t xml:space="preserve">Clearview Ridge Preparatory  </t>
        </is>
      </c>
      <c r="F328" t="inlineStr">
        <is>
          <t>D1</t>
        </is>
      </c>
      <c r="G328" t="n">
        <v>10</v>
      </c>
      <c r="H328" s="3" t="n"/>
    </row>
    <row r="329" ht="15.75" customHeight="1">
      <c r="A329" s="1" t="inlineStr">
        <is>
          <t>Moonwell_Harbor</t>
        </is>
      </c>
      <c r="B329" t="n">
        <v>47438</v>
      </c>
      <c r="C329" t="inlineStr">
        <is>
          <t xml:space="preserve">Orbit Optimizers Crew  </t>
        </is>
      </c>
      <c r="D329" t="inlineStr">
        <is>
          <t xml:space="preserve">Jory Pierce  </t>
        </is>
      </c>
      <c r="E329" t="inlineStr">
        <is>
          <t xml:space="preserve">Evergreen Springs Ridge School  </t>
        </is>
      </c>
      <c r="F329" t="inlineStr">
        <is>
          <t>D1</t>
        </is>
      </c>
      <c r="G329" t="n">
        <v>9</v>
      </c>
      <c r="H329" s="3" t="n"/>
    </row>
    <row r="330" ht="15.75" customHeight="1">
      <c r="A330" s="1" t="inlineStr">
        <is>
          <t>Moonwell_Harbor</t>
        </is>
      </c>
      <c r="B330" t="n">
        <v>54416</v>
      </c>
      <c r="C330" t="inlineStr">
        <is>
          <t xml:space="preserve">Comet Commanders Collective  </t>
        </is>
      </c>
      <c r="D330" t="inlineStr">
        <is>
          <t xml:space="preserve">Keir Rhodes  </t>
        </is>
      </c>
      <c r="E330" t="inlineStr">
        <is>
          <t xml:space="preserve">Highland Meadow Ridge School  </t>
        </is>
      </c>
      <c r="F330" t="inlineStr">
        <is>
          <t>D1</t>
        </is>
      </c>
      <c r="G330" t="n">
        <v>6</v>
      </c>
      <c r="H330" s="3" t="n"/>
    </row>
    <row r="331" ht="15.75" customHeight="1">
      <c r="A331" s="1" t="inlineStr">
        <is>
          <t>Moonwell_Harbor</t>
        </is>
      </c>
      <c r="B331" t="n">
        <v>58854</v>
      </c>
      <c r="C331" t="inlineStr">
        <is>
          <t xml:space="preserve">Meteor Makers Team  </t>
        </is>
      </c>
      <c r="D331" t="inlineStr">
        <is>
          <t xml:space="preserve">Lars Foster  </t>
        </is>
      </c>
      <c r="E331" t="inlineStr">
        <is>
          <t xml:space="preserve">Valley Brook Preparatory  </t>
        </is>
      </c>
      <c r="F331" t="inlineStr">
        <is>
          <t>D1</t>
        </is>
      </c>
      <c r="G331" t="n">
        <v>6</v>
      </c>
      <c r="H331" s="3" t="n"/>
    </row>
    <row r="332" ht="15.75" customHeight="1">
      <c r="A332" s="1" t="inlineStr">
        <is>
          <t>Moonwell_Harbor</t>
        </is>
      </c>
      <c r="B332" t="n">
        <v>60205</v>
      </c>
      <c r="C332" t="inlineStr">
        <is>
          <t xml:space="preserve">The Master Builders  </t>
        </is>
      </c>
      <c r="D332" t="inlineStr">
        <is>
          <t xml:space="preserve">Milo Maddox  </t>
        </is>
      </c>
      <c r="E332" t="inlineStr">
        <is>
          <t xml:space="preserve">Sunset Grove Ridge School  </t>
        </is>
      </c>
      <c r="F332" t="inlineStr">
        <is>
          <t>D1</t>
        </is>
      </c>
      <c r="G332" t="n">
        <v>10</v>
      </c>
      <c r="H332" s="3" t="n"/>
    </row>
    <row r="333" ht="15.75" customHeight="1">
      <c r="A333" s="1" t="inlineStr">
        <is>
          <t>Moonwell_Harbor</t>
        </is>
      </c>
      <c r="B333" t="n">
        <v>60272</v>
      </c>
      <c r="C333" t="inlineStr">
        <is>
          <t xml:space="preserve">The Build Brigade  </t>
        </is>
      </c>
      <c r="D333" t="inlineStr">
        <is>
          <t xml:space="preserve">Nash Shaw  </t>
        </is>
      </c>
      <c r="E333" t="inlineStr">
        <is>
          <t xml:space="preserve">Canyon Ridge Valley Academy  </t>
        </is>
      </c>
      <c r="F333" t="inlineStr">
        <is>
          <t>D1</t>
        </is>
      </c>
      <c r="G333" t="n">
        <v>10</v>
      </c>
      <c r="H333" s="3" t="n"/>
    </row>
    <row r="334" ht="15.75" customHeight="1">
      <c r="A334" s="1" t="inlineStr">
        <is>
          <t>Moonwell_Harbor</t>
        </is>
      </c>
      <c r="B334" t="n">
        <v>62726</v>
      </c>
      <c r="C334" t="inlineStr">
        <is>
          <t xml:space="preserve">The Assembly Alliance  </t>
        </is>
      </c>
      <c r="D334" t="inlineStr">
        <is>
          <t xml:space="preserve">Orrin Turner  </t>
        </is>
      </c>
      <c r="E334" t="inlineStr">
        <is>
          <t xml:space="preserve">Forest Valley Ridge Academy  </t>
        </is>
      </c>
      <c r="F334" t="inlineStr">
        <is>
          <t>D1</t>
        </is>
      </c>
      <c r="G334" t="n">
        <v>6</v>
      </c>
      <c r="H334" s="3" t="n"/>
    </row>
    <row r="335" ht="15.75" customHeight="1">
      <c r="A335" s="1" t="inlineStr">
        <is>
          <t>Moonwell_Harbor</t>
        </is>
      </c>
      <c r="B335" t="n">
        <v>64893</v>
      </c>
      <c r="C335" t="inlineStr">
        <is>
          <t xml:space="preserve">The Construct Crew  </t>
        </is>
      </c>
      <c r="D335" t="inlineStr">
        <is>
          <t xml:space="preserve">Pryce Mercer  </t>
        </is>
      </c>
      <c r="E335" t="inlineStr">
        <is>
          <t xml:space="preserve">Silver Springs Ridge School  </t>
        </is>
      </c>
      <c r="F335" t="inlineStr">
        <is>
          <t>D1</t>
        </is>
      </c>
      <c r="G335" t="n">
        <v>7</v>
      </c>
      <c r="H335" s="3" t="n"/>
    </row>
    <row r="336" ht="15.75" customHeight="1">
      <c r="A336" s="1" t="inlineStr">
        <is>
          <t>Moonwell_Harbor</t>
        </is>
      </c>
      <c r="B336" t="n">
        <v>69117</v>
      </c>
      <c r="C336" t="inlineStr">
        <is>
          <t xml:space="preserve">The Maker Mechanics  </t>
        </is>
      </c>
      <c r="D336" t="inlineStr">
        <is>
          <t xml:space="preserve">Quinn Barrett  </t>
        </is>
      </c>
      <c r="E336" t="inlineStr">
        <is>
          <t xml:space="preserve">Twin Lakes Ridge Preparatory  </t>
        </is>
      </c>
      <c r="F336" t="inlineStr">
        <is>
          <t>D1</t>
        </is>
      </c>
      <c r="G336" t="n">
        <v>6</v>
      </c>
      <c r="H336" s="3" t="n"/>
    </row>
    <row r="337" ht="15.75" customHeight="1">
      <c r="A337" s="1" t="inlineStr">
        <is>
          <t>Moonwell_Harbor</t>
        </is>
      </c>
      <c r="B337" t="n">
        <v>70513</v>
      </c>
      <c r="C337" t="inlineStr">
        <is>
          <t xml:space="preserve">The Build Bots  </t>
        </is>
      </c>
      <c r="D337" t="inlineStr">
        <is>
          <t xml:space="preserve">Reed Briggs  </t>
        </is>
      </c>
      <c r="E337" t="inlineStr">
        <is>
          <t xml:space="preserve">Meadow Valley Ridge School  </t>
        </is>
      </c>
      <c r="F337" t="inlineStr">
        <is>
          <t>D1</t>
        </is>
      </c>
      <c r="G337" t="n">
        <v>7</v>
      </c>
      <c r="H337" s="3" t="n"/>
    </row>
    <row r="338" ht="15.75" customHeight="1">
      <c r="A338" s="1" t="inlineStr">
        <is>
          <t>Moonwell_Harbor</t>
        </is>
      </c>
      <c r="B338" t="n">
        <v>70562</v>
      </c>
      <c r="C338" t="inlineStr">
        <is>
          <t xml:space="preserve">The Assembly Agents  </t>
        </is>
      </c>
      <c r="D338" t="inlineStr">
        <is>
          <t xml:space="preserve">Soren Harlan  </t>
        </is>
      </c>
      <c r="E338" t="inlineStr">
        <is>
          <t xml:space="preserve">Skycrest Ridge Academy  </t>
        </is>
      </c>
      <c r="F338" t="inlineStr">
        <is>
          <t>D1</t>
        </is>
      </c>
      <c r="G338" t="n">
        <v>5</v>
      </c>
      <c r="H338" s="3" t="n"/>
    </row>
    <row r="339" ht="15.75" customHeight="1">
      <c r="A339" s="1" t="inlineStr">
        <is>
          <t>Moonwell_Harbor</t>
        </is>
      </c>
      <c r="B339" t="n">
        <v>24578</v>
      </c>
      <c r="C339" t="inlineStr">
        <is>
          <t xml:space="preserve">The Construct Commanders  </t>
        </is>
      </c>
      <c r="D339" t="inlineStr">
        <is>
          <t xml:space="preserve">Thane Everett  </t>
        </is>
      </c>
      <c r="F339" t="inlineStr">
        <is>
          <t>D2</t>
        </is>
      </c>
      <c r="G339" t="n">
        <v>9</v>
      </c>
      <c r="H339" s="3" t="n"/>
    </row>
    <row r="340" ht="15.75" customHeight="1">
      <c r="A340" s="1" t="inlineStr">
        <is>
          <t>Moonwell_Harbor</t>
        </is>
      </c>
      <c r="B340" t="n">
        <v>63622</v>
      </c>
      <c r="C340" t="inlineStr">
        <is>
          <t xml:space="preserve">The Maker Mavericks  </t>
        </is>
      </c>
      <c r="D340" t="inlineStr">
        <is>
          <t xml:space="preserve">Upton Chandler  </t>
        </is>
      </c>
      <c r="F340" t="inlineStr">
        <is>
          <t>D2</t>
        </is>
      </c>
      <c r="G340" t="n">
        <v>6</v>
      </c>
      <c r="H340" s="3" t="n"/>
    </row>
    <row r="341" ht="15.75" customHeight="1">
      <c r="A341" s="1" t="inlineStr">
        <is>
          <t>Moonwell_Harbor</t>
        </is>
      </c>
      <c r="B341" t="n">
        <v>65936</v>
      </c>
      <c r="C341" t="inlineStr">
        <is>
          <t xml:space="preserve">The Build Battalion  </t>
        </is>
      </c>
      <c r="D341" t="inlineStr">
        <is>
          <t xml:space="preserve">Vail Pierce  </t>
        </is>
      </c>
      <c r="F341" t="inlineStr">
        <is>
          <t>D2</t>
        </is>
      </c>
      <c r="G341" t="n">
        <v>6</v>
      </c>
      <c r="H341" s="3" t="n"/>
    </row>
    <row r="342" ht="15.75" customHeight="1">
      <c r="A342" s="1" t="inlineStr">
        <is>
          <t>Moonwell_Harbor</t>
        </is>
      </c>
      <c r="B342" t="n">
        <v>65937</v>
      </c>
      <c r="C342" t="inlineStr">
        <is>
          <t xml:space="preserve">The Assembly Architects  </t>
        </is>
      </c>
      <c r="D342" t="inlineStr">
        <is>
          <t xml:space="preserve">Witt Rhodes  </t>
        </is>
      </c>
      <c r="F342" t="inlineStr">
        <is>
          <t>D2</t>
        </is>
      </c>
      <c r="G342" t="n">
        <v>6</v>
      </c>
      <c r="H342" s="3" t="n"/>
    </row>
    <row r="343" ht="15.75" customHeight="1">
      <c r="A343" s="1" t="inlineStr">
        <is>
          <t>Moonwell_Harbor</t>
        </is>
      </c>
      <c r="B343" t="n">
        <v>72446</v>
      </c>
      <c r="C343" t="inlineStr">
        <is>
          <t xml:space="preserve">The Construct Cyclones  </t>
        </is>
      </c>
      <c r="D343" t="inlineStr">
        <is>
          <t xml:space="preserve">Xavi Foster  </t>
        </is>
      </c>
      <c r="F343" t="inlineStr">
        <is>
          <t>D2</t>
        </is>
      </c>
      <c r="G343" t="n">
        <v>3</v>
      </c>
      <c r="H343" s="3" t="n"/>
    </row>
    <row r="344" ht="15.75" customHeight="1">
      <c r="A344" s="1" t="inlineStr">
        <is>
          <t>Moonwell_Harbor</t>
        </is>
      </c>
      <c r="B344" t="n">
        <v>72465</v>
      </c>
      <c r="C344" t="inlineStr">
        <is>
          <t xml:space="preserve">The Maker Magicians  </t>
        </is>
      </c>
      <c r="D344" t="inlineStr">
        <is>
          <t xml:space="preserve">Yuri Dalton  </t>
        </is>
      </c>
      <c r="F344" t="inlineStr">
        <is>
          <t>D2</t>
        </is>
      </c>
      <c r="G344" t="n">
        <v>3</v>
      </c>
      <c r="H344" s="3" t="n"/>
    </row>
    <row r="345" ht="15.75" customHeight="1">
      <c r="A345" t="inlineStr">
        <is>
          <t>Driftstone_Flats</t>
        </is>
      </c>
      <c r="B345" t="n">
        <v>8806</v>
      </c>
      <c r="C345" t="inlineStr">
        <is>
          <t xml:space="preserve">The Build Breakers  </t>
        </is>
      </c>
      <c r="D345" t="inlineStr">
        <is>
          <t xml:space="preserve">Zion Harmon  </t>
        </is>
      </c>
      <c r="F345" t="inlineStr">
        <is>
          <t>D1</t>
        </is>
      </c>
      <c r="G345" t="n">
        <v>10</v>
      </c>
      <c r="H345" s="3" t="n"/>
    </row>
    <row r="346" ht="15.75" customHeight="1">
      <c r="A346" t="inlineStr">
        <is>
          <t>Driftstone_Flats</t>
        </is>
      </c>
      <c r="B346" t="n">
        <v>8810</v>
      </c>
      <c r="C346" t="inlineStr">
        <is>
          <t xml:space="preserve">The Assembly Avengers  </t>
        </is>
      </c>
      <c r="D346" t="inlineStr">
        <is>
          <t>Tammy Allen</t>
        </is>
      </c>
      <c r="F346" t="inlineStr">
        <is>
          <t>D1</t>
        </is>
      </c>
      <c r="G346" t="n">
        <v>10</v>
      </c>
      <c r="H346" s="3" t="n"/>
    </row>
    <row r="347" ht="15.75" customHeight="1">
      <c r="A347" t="inlineStr">
        <is>
          <t>Driftstone_Flats</t>
        </is>
      </c>
      <c r="B347" t="n">
        <v>8811</v>
      </c>
      <c r="C347" t="inlineStr">
        <is>
          <t xml:space="preserve">The Construct Crusaders  </t>
        </is>
      </c>
      <c r="D347" t="inlineStr">
        <is>
          <t>Tammy Allen</t>
        </is>
      </c>
      <c r="F347" t="inlineStr">
        <is>
          <t>D1</t>
        </is>
      </c>
      <c r="G347" t="n">
        <v>10</v>
      </c>
      <c r="H347" s="3" t="n"/>
    </row>
    <row r="348" ht="15.75" customHeight="1">
      <c r="A348" t="inlineStr">
        <is>
          <t>Driftstone_Flats</t>
        </is>
      </c>
      <c r="B348" t="n">
        <v>8813</v>
      </c>
      <c r="C348" t="inlineStr">
        <is>
          <t xml:space="preserve">The Maker Machines  </t>
        </is>
      </c>
      <c r="D348" t="inlineStr">
        <is>
          <t>Tammy Allen</t>
        </is>
      </c>
      <c r="F348" t="inlineStr">
        <is>
          <t>D1</t>
        </is>
      </c>
      <c r="G348" t="n">
        <v>10</v>
      </c>
      <c r="H348" s="3" t="n"/>
    </row>
    <row r="349" ht="15.75" customHeight="1">
      <c r="A349" t="inlineStr">
        <is>
          <t>Driftstone_Flats</t>
        </is>
      </c>
      <c r="B349" t="n">
        <v>8816</v>
      </c>
      <c r="C349" t="inlineStr">
        <is>
          <t xml:space="preserve">The Build Blasters  </t>
        </is>
      </c>
      <c r="D349" t="inlineStr">
        <is>
          <t>Tammy Allen</t>
        </is>
      </c>
      <c r="F349" t="inlineStr">
        <is>
          <t>D1</t>
        </is>
      </c>
      <c r="G349" t="n">
        <v>9</v>
      </c>
      <c r="H349" s="3" t="n"/>
    </row>
    <row r="350" ht="15.75" customHeight="1">
      <c r="A350" t="inlineStr">
        <is>
          <t>Driftstone_Flats</t>
        </is>
      </c>
      <c r="B350" t="n">
        <v>39748</v>
      </c>
      <c r="C350" t="inlineStr">
        <is>
          <t xml:space="preserve">The Assembly Alliance  </t>
        </is>
      </c>
      <c r="D350" t="inlineStr">
        <is>
          <t>Chenoa Montgomery</t>
        </is>
      </c>
      <c r="F350" t="inlineStr">
        <is>
          <t>D1</t>
        </is>
      </c>
      <c r="G350" t="n">
        <v>4</v>
      </c>
      <c r="H350" s="3" t="n"/>
    </row>
    <row r="351" ht="15.75" customHeight="1">
      <c r="A351" t="inlineStr">
        <is>
          <t>Driftstone_Flats</t>
        </is>
      </c>
      <c r="B351" t="n">
        <v>53121</v>
      </c>
      <c r="C351" t="inlineStr">
        <is>
          <t xml:space="preserve">The Construct Crew  </t>
        </is>
      </c>
      <c r="D351" t="inlineStr">
        <is>
          <t>Tammy Allen</t>
        </is>
      </c>
      <c r="F351" t="inlineStr">
        <is>
          <t>D1</t>
        </is>
      </c>
      <c r="G351" t="n">
        <v>10</v>
      </c>
      <c r="H351" s="3" t="n"/>
    </row>
    <row r="352" ht="15.75" customHeight="1">
      <c r="A352" t="inlineStr">
        <is>
          <t>Driftstone_Flats</t>
        </is>
      </c>
      <c r="B352" t="n">
        <v>71722</v>
      </c>
      <c r="C352" t="inlineStr">
        <is>
          <t xml:space="preserve">The Maker Mechanics  </t>
        </is>
      </c>
      <c r="D352" t="inlineStr">
        <is>
          <t xml:space="preserve">Jennifer Payne </t>
        </is>
      </c>
      <c r="F352" t="inlineStr">
        <is>
          <t>D1</t>
        </is>
      </c>
      <c r="G352" t="n">
        <v>8</v>
      </c>
      <c r="H352" s="3" t="n"/>
    </row>
    <row r="353" ht="15.75" customHeight="1">
      <c r="A353" t="inlineStr">
        <is>
          <t>Driftstone_Flats</t>
        </is>
      </c>
      <c r="B353" t="n">
        <v>8804</v>
      </c>
      <c r="C353" t="inlineStr">
        <is>
          <t xml:space="preserve">The Build Bots  </t>
        </is>
      </c>
      <c r="D353" t="inlineStr">
        <is>
          <t>Tammy Allen</t>
        </is>
      </c>
      <c r="F353" t="inlineStr">
        <is>
          <t>D2</t>
        </is>
      </c>
      <c r="G353" t="n">
        <v>10</v>
      </c>
      <c r="H353" s="3" t="n"/>
    </row>
    <row r="354" ht="15.75" customHeight="1">
      <c r="A354" t="inlineStr">
        <is>
          <t>Driftstone_Flats</t>
        </is>
      </c>
      <c r="B354" t="n">
        <v>8807</v>
      </c>
      <c r="C354" t="inlineStr">
        <is>
          <t xml:space="preserve">The Assembly Agents  </t>
        </is>
      </c>
      <c r="D354" t="inlineStr">
        <is>
          <t>Tammy Allen</t>
        </is>
      </c>
      <c r="F354" t="inlineStr">
        <is>
          <t>D2</t>
        </is>
      </c>
      <c r="G354" t="n">
        <v>10</v>
      </c>
      <c r="H354" s="3" t="n"/>
    </row>
    <row r="355" ht="15.75" customHeight="1">
      <c r="A355" t="inlineStr">
        <is>
          <t>Driftstone_Flats</t>
        </is>
      </c>
      <c r="B355" t="n">
        <v>8808</v>
      </c>
      <c r="C355" t="inlineStr">
        <is>
          <t xml:space="preserve">The Construct Commanders  </t>
        </is>
      </c>
      <c r="D355" t="inlineStr">
        <is>
          <t>Tammy Allen</t>
        </is>
      </c>
      <c r="F355" t="inlineStr">
        <is>
          <t>D2</t>
        </is>
      </c>
      <c r="G355" t="n">
        <v>8</v>
      </c>
      <c r="H355" s="3" t="n"/>
    </row>
    <row r="356" ht="15.75" customHeight="1">
      <c r="A356" t="inlineStr">
        <is>
          <t>Driftstone_Flats</t>
        </is>
      </c>
      <c r="B356" t="n">
        <v>53122</v>
      </c>
      <c r="C356" t="inlineStr">
        <is>
          <t xml:space="preserve">The Maker Mavericks  </t>
        </is>
      </c>
      <c r="D356" t="inlineStr">
        <is>
          <t>Tammy Allen</t>
        </is>
      </c>
      <c r="F356" t="inlineStr">
        <is>
          <t>D2</t>
        </is>
      </c>
      <c r="G356" t="n">
        <v>9</v>
      </c>
      <c r="H356" s="3" t="n"/>
    </row>
    <row r="357" ht="15.75" customHeight="1">
      <c r="A357" t="inlineStr">
        <is>
          <t>Driftstone_Flats</t>
        </is>
      </c>
      <c r="B357" t="n">
        <v>60627</v>
      </c>
      <c r="C357" t="inlineStr">
        <is>
          <t xml:space="preserve">The Build Battalion  </t>
        </is>
      </c>
      <c r="D357" t="inlineStr">
        <is>
          <t>Brandy  Higgins</t>
        </is>
      </c>
      <c r="F357" t="inlineStr">
        <is>
          <t>D2</t>
        </is>
      </c>
      <c r="G357" t="n">
        <v>5</v>
      </c>
      <c r="H357" s="3" t="n"/>
    </row>
    <row r="358" ht="15.75" customHeight="1">
      <c r="A358" t="inlineStr">
        <is>
          <t>Driftstone_Flats</t>
        </is>
      </c>
      <c r="B358" t="n">
        <v>65299</v>
      </c>
      <c r="C358" t="inlineStr">
        <is>
          <t xml:space="preserve">The Assembly Architects  </t>
        </is>
      </c>
      <c r="D358" t="inlineStr">
        <is>
          <t>Ashley Townsend</t>
        </is>
      </c>
      <c r="F358" t="inlineStr">
        <is>
          <t>D2</t>
        </is>
      </c>
      <c r="G358" t="n">
        <v>5</v>
      </c>
      <c r="H358" s="3" t="n"/>
    </row>
    <row r="359" ht="15.75" customHeight="1">
      <c r="A359" t="inlineStr">
        <is>
          <t>Driftstone_Flats</t>
        </is>
      </c>
      <c r="B359" t="n">
        <v>65573</v>
      </c>
      <c r="C359" t="inlineStr">
        <is>
          <t xml:space="preserve">The Construct Cyclones  </t>
        </is>
      </c>
      <c r="D359" t="inlineStr">
        <is>
          <t>Phyllis Meade</t>
        </is>
      </c>
      <c r="F359" t="inlineStr">
        <is>
          <t>D2</t>
        </is>
      </c>
      <c r="G359" t="n">
        <v>10</v>
      </c>
      <c r="H359" s="3" t="n"/>
    </row>
    <row r="360" ht="15.75" customHeight="1">
      <c r="A360" t="inlineStr">
        <is>
          <t>Driftstone_Flats</t>
        </is>
      </c>
      <c r="B360" t="n">
        <v>65950</v>
      </c>
      <c r="C360" t="inlineStr">
        <is>
          <t xml:space="preserve">The Maker Magicians  </t>
        </is>
      </c>
      <c r="D360" t="inlineStr">
        <is>
          <t>Kimberly Babcock</t>
        </is>
      </c>
      <c r="F360" t="inlineStr">
        <is>
          <t>D2</t>
        </is>
      </c>
      <c r="G360" t="n">
        <v>7</v>
      </c>
      <c r="H360" s="3" t="n"/>
    </row>
    <row r="361" ht="15.75" customHeight="1">
      <c r="A361" t="inlineStr">
        <is>
          <t>Driftstone_Flats</t>
        </is>
      </c>
      <c r="B361" t="n">
        <v>65951</v>
      </c>
      <c r="C361" t="inlineStr">
        <is>
          <t xml:space="preserve">The Build Breakers  </t>
        </is>
      </c>
      <c r="D361" t="inlineStr">
        <is>
          <t>Christy Foley</t>
        </is>
      </c>
      <c r="F361" t="inlineStr">
        <is>
          <t>D2</t>
        </is>
      </c>
      <c r="G361" t="n">
        <v>7</v>
      </c>
      <c r="H361" s="3" t="n"/>
    </row>
    <row r="362" ht="15.75" customHeight="1">
      <c r="A362" t="inlineStr">
        <is>
          <t>Driftstone_Flats</t>
        </is>
      </c>
      <c r="B362" t="n">
        <v>71724</v>
      </c>
      <c r="C362" t="inlineStr">
        <is>
          <t xml:space="preserve">The Assembly Avengers  </t>
        </is>
      </c>
      <c r="D362" t="inlineStr">
        <is>
          <t>Amy Ridenour</t>
        </is>
      </c>
      <c r="F362" t="inlineStr">
        <is>
          <t>D2</t>
        </is>
      </c>
      <c r="G362" t="n">
        <v>6</v>
      </c>
      <c r="H362" s="3" t="n"/>
    </row>
    <row r="363" ht="15.75" customHeight="1">
      <c r="A363" t="inlineStr">
        <is>
          <t>Driftstone_Flats</t>
        </is>
      </c>
      <c r="B363" t="n">
        <v>73096</v>
      </c>
      <c r="C363" t="inlineStr">
        <is>
          <t xml:space="preserve">The Construct Crusaders  </t>
        </is>
      </c>
      <c r="D363" t="inlineStr">
        <is>
          <t>Pam Colbert</t>
        </is>
      </c>
      <c r="F363" t="inlineStr">
        <is>
          <t>D2</t>
        </is>
      </c>
      <c r="G363" t="n">
        <v>10</v>
      </c>
      <c r="H363" s="3" t="n"/>
    </row>
    <row r="364" ht="15.75" customHeight="1">
      <c r="A364" s="1" t="inlineStr">
        <is>
          <t>Silverhollow</t>
        </is>
      </c>
      <c r="B364" t="n">
        <v>37683</v>
      </c>
      <c r="C364" t="inlineStr">
        <is>
          <t xml:space="preserve">The Maker Machines  </t>
        </is>
      </c>
      <c r="D364" t="inlineStr">
        <is>
          <t>Justin Upchurch</t>
        </is>
      </c>
      <c r="F364" t="inlineStr">
        <is>
          <t>D1</t>
        </is>
      </c>
      <c r="G364" t="n">
        <v>8</v>
      </c>
      <c r="H364" s="3" t="n"/>
    </row>
    <row r="365" ht="15.75" customHeight="1">
      <c r="A365" s="1" t="inlineStr">
        <is>
          <t>Silverhollow</t>
        </is>
      </c>
      <c r="B365" t="n">
        <v>38242</v>
      </c>
      <c r="C365" t="inlineStr">
        <is>
          <t xml:space="preserve">The Build Blasters  </t>
        </is>
      </c>
      <c r="D365" t="inlineStr">
        <is>
          <t>Jennifer Nemo</t>
        </is>
      </c>
      <c r="F365" t="inlineStr">
        <is>
          <t>D1</t>
        </is>
      </c>
      <c r="G365" t="n">
        <v>10</v>
      </c>
      <c r="H365" s="3" t="n"/>
    </row>
    <row r="366" ht="15.75" customHeight="1">
      <c r="A366" s="1" t="inlineStr">
        <is>
          <t>Silverhollow</t>
        </is>
      </c>
      <c r="B366" t="n">
        <v>51652</v>
      </c>
      <c r="C366" t="inlineStr">
        <is>
          <t xml:space="preserve">The Assembly Alliance  </t>
        </is>
      </c>
      <c r="D366" t="inlineStr">
        <is>
          <t>Eric Goff</t>
        </is>
      </c>
      <c r="F366" t="inlineStr">
        <is>
          <t>D1</t>
        </is>
      </c>
      <c r="G366" t="n">
        <v>8</v>
      </c>
      <c r="H366" s="3" t="n"/>
    </row>
    <row r="367" ht="15.75" customHeight="1">
      <c r="A367" s="1" t="inlineStr">
        <is>
          <t>Silverhollow</t>
        </is>
      </c>
      <c r="B367" t="n">
        <v>53446</v>
      </c>
      <c r="C367" t="inlineStr">
        <is>
          <t xml:space="preserve">The Construct Crew  </t>
        </is>
      </c>
      <c r="D367" t="inlineStr">
        <is>
          <t>DeeJean Mendez</t>
        </is>
      </c>
      <c r="F367" t="inlineStr">
        <is>
          <t>D1</t>
        </is>
      </c>
      <c r="G367" t="n">
        <v>6</v>
      </c>
      <c r="H367" s="3" t="n"/>
    </row>
    <row r="368" ht="15.75" customHeight="1">
      <c r="A368" s="1" t="inlineStr">
        <is>
          <t>Silverhollow</t>
        </is>
      </c>
      <c r="B368" t="n">
        <v>53450</v>
      </c>
      <c r="C368" t="inlineStr">
        <is>
          <t xml:space="preserve">The Maker Mechanics  </t>
        </is>
      </c>
      <c r="D368" t="inlineStr">
        <is>
          <t>Thomas  Eby</t>
        </is>
      </c>
      <c r="F368" t="inlineStr">
        <is>
          <t>D1</t>
        </is>
      </c>
      <c r="G368" t="n">
        <v>6</v>
      </c>
      <c r="H368" s="3" t="n"/>
    </row>
    <row r="369" ht="15.75" customHeight="1">
      <c r="A369" s="1" t="inlineStr">
        <is>
          <t>Silverhollow</t>
        </is>
      </c>
      <c r="B369" t="n">
        <v>57671</v>
      </c>
      <c r="C369" t="inlineStr">
        <is>
          <t xml:space="preserve">The Build Bots  </t>
        </is>
      </c>
      <c r="D369" t="inlineStr">
        <is>
          <t>Lolita Clark</t>
        </is>
      </c>
      <c r="F369" t="inlineStr">
        <is>
          <t>D1</t>
        </is>
      </c>
      <c r="G369" t="n">
        <v>7</v>
      </c>
      <c r="H369" s="3" t="n"/>
    </row>
    <row r="370" ht="15.75" customHeight="1">
      <c r="A370" s="1" t="inlineStr">
        <is>
          <t>Silverhollow</t>
        </is>
      </c>
      <c r="B370" t="n">
        <v>57675</v>
      </c>
      <c r="C370" t="inlineStr">
        <is>
          <t xml:space="preserve">The Assembly Agents  </t>
        </is>
      </c>
      <c r="D370" t="inlineStr">
        <is>
          <t>Arnina Johnson</t>
        </is>
      </c>
      <c r="F370" t="inlineStr">
        <is>
          <t>D1</t>
        </is>
      </c>
      <c r="G370" t="n">
        <v>5</v>
      </c>
      <c r="H370" s="3" t="n"/>
    </row>
    <row r="371" ht="15.75" customHeight="1">
      <c r="A371" s="1" t="inlineStr">
        <is>
          <t>Silverhollow</t>
        </is>
      </c>
      <c r="B371" t="n">
        <v>66989</v>
      </c>
      <c r="C371" t="inlineStr">
        <is>
          <t xml:space="preserve">The Construct Commanders  </t>
        </is>
      </c>
      <c r="D371" t="inlineStr">
        <is>
          <t>Chelsea Simpson</t>
        </is>
      </c>
      <c r="F371" t="inlineStr">
        <is>
          <t>D1</t>
        </is>
      </c>
      <c r="G371" t="n">
        <v>10</v>
      </c>
      <c r="H371" s="3" t="n"/>
    </row>
    <row r="372" ht="15.75" customHeight="1">
      <c r="A372" s="1" t="inlineStr">
        <is>
          <t>Silverhollow</t>
        </is>
      </c>
      <c r="B372" t="n">
        <v>71584</v>
      </c>
      <c r="C372" t="inlineStr">
        <is>
          <t xml:space="preserve">Pixel Pioneers  </t>
        </is>
      </c>
      <c r="D372" t="inlineStr">
        <is>
          <t>Brittany Hamlin</t>
        </is>
      </c>
      <c r="F372" t="inlineStr">
        <is>
          <t>D1</t>
        </is>
      </c>
      <c r="G372" t="n">
        <v>3</v>
      </c>
      <c r="H372" s="3" t="n"/>
    </row>
    <row r="373" ht="15.75" customHeight="1">
      <c r="A373" s="1" t="inlineStr">
        <is>
          <t>Silverhollow</t>
        </is>
      </c>
      <c r="B373" t="n">
        <v>74368</v>
      </c>
      <c r="C373" t="inlineStr">
        <is>
          <t xml:space="preserve">Code Crushers  </t>
        </is>
      </c>
      <c r="D373" t="inlineStr">
        <is>
          <t>Drew Mosley</t>
        </is>
      </c>
      <c r="F373" t="inlineStr">
        <is>
          <t>D1</t>
        </is>
      </c>
      <c r="G373" t="n">
        <v>10</v>
      </c>
      <c r="H373" s="3" t="n"/>
    </row>
    <row r="374" ht="15.75" customHeight="1">
      <c r="A374" s="1" t="inlineStr">
        <is>
          <t>Silverhollow</t>
        </is>
      </c>
      <c r="B374" t="n">
        <v>6348</v>
      </c>
      <c r="C374" t="inlineStr">
        <is>
          <t xml:space="preserve">Debug Dynasty  </t>
        </is>
      </c>
      <c r="D374" t="inlineStr">
        <is>
          <t>Theresa Goltermann</t>
        </is>
      </c>
      <c r="F374" t="inlineStr">
        <is>
          <t>D2</t>
        </is>
      </c>
      <c r="G374" t="n">
        <v>10</v>
      </c>
      <c r="H374" s="3" t="n"/>
    </row>
    <row r="375" ht="15.75" customHeight="1">
      <c r="A375" s="1" t="inlineStr">
        <is>
          <t>Silverhollow</t>
        </is>
      </c>
      <c r="B375" t="n">
        <v>35054</v>
      </c>
      <c r="C375" t="inlineStr">
        <is>
          <t xml:space="preserve">The Glitch Guardians  </t>
        </is>
      </c>
      <c r="D375" t="inlineStr">
        <is>
          <t>Patrick McFadden</t>
        </is>
      </c>
      <c r="F375" t="inlineStr">
        <is>
          <t>D2</t>
        </is>
      </c>
      <c r="G375" t="n">
        <v>7</v>
      </c>
      <c r="H375" s="3" t="n"/>
    </row>
    <row r="376" ht="15.75" customHeight="1">
      <c r="A376" s="1" t="inlineStr">
        <is>
          <t>Silverhollow</t>
        </is>
      </c>
      <c r="B376" t="n">
        <v>38238</v>
      </c>
      <c r="C376" t="inlineStr">
        <is>
          <t xml:space="preserve">The Pixel Programmers  </t>
        </is>
      </c>
      <c r="D376" t="inlineStr">
        <is>
          <t>Jessica Fields</t>
        </is>
      </c>
      <c r="F376" t="inlineStr">
        <is>
          <t>D2</t>
        </is>
      </c>
      <c r="G376" t="n">
        <v>9</v>
      </c>
      <c r="H376" s="3" t="n"/>
    </row>
    <row r="377" ht="15.75" customHeight="1">
      <c r="A377" s="1" t="inlineStr">
        <is>
          <t>Silverhollow</t>
        </is>
      </c>
      <c r="B377" t="n">
        <v>46140</v>
      </c>
      <c r="C377" t="inlineStr">
        <is>
          <t xml:space="preserve">The Code Cadets  </t>
        </is>
      </c>
      <c r="D377" t="inlineStr">
        <is>
          <t>Juliet Bellinger</t>
        </is>
      </c>
      <c r="F377" t="inlineStr">
        <is>
          <t>D2</t>
        </is>
      </c>
      <c r="G377" t="n">
        <v>3</v>
      </c>
      <c r="H377" s="3" t="n"/>
    </row>
    <row r="378" ht="15.75" customHeight="1">
      <c r="A378" s="1" t="inlineStr">
        <is>
          <t>Silverhollow</t>
        </is>
      </c>
      <c r="B378" t="n">
        <v>47030</v>
      </c>
      <c r="C378" t="inlineStr">
        <is>
          <t xml:space="preserve">The Data Drivers  </t>
        </is>
      </c>
      <c r="D378" t="inlineStr">
        <is>
          <t>Laura Nelson-Rogers</t>
        </is>
      </c>
      <c r="F378" t="inlineStr">
        <is>
          <t>D2</t>
        </is>
      </c>
      <c r="G378" t="n">
        <v>6</v>
      </c>
      <c r="H378" s="3" t="n"/>
    </row>
    <row r="379" ht="15.75" customHeight="1">
      <c r="A379" s="1" t="inlineStr">
        <is>
          <t>Silverhollow</t>
        </is>
      </c>
      <c r="B379" t="n">
        <v>52367</v>
      </c>
      <c r="C379" t="inlineStr">
        <is>
          <t xml:space="preserve">The Script Squad  </t>
        </is>
      </c>
      <c r="D379" t="inlineStr">
        <is>
          <t>Patrick McFadden</t>
        </is>
      </c>
      <c r="F379" t="inlineStr">
        <is>
          <t>D2</t>
        </is>
      </c>
      <c r="G379" t="n">
        <v>7</v>
      </c>
      <c r="H379" s="3" t="n"/>
    </row>
    <row r="380" ht="15.75" customHeight="1">
      <c r="A380" s="1" t="inlineStr">
        <is>
          <t>Silverhollow</t>
        </is>
      </c>
      <c r="B380" t="n">
        <v>58638</v>
      </c>
      <c r="C380" t="inlineStr">
        <is>
          <t xml:space="preserve">The Pixel Pirates  </t>
        </is>
      </c>
      <c r="D380" t="inlineStr">
        <is>
          <t>Stephen Auth</t>
        </is>
      </c>
      <c r="F380" t="inlineStr">
        <is>
          <t>D2</t>
        </is>
      </c>
      <c r="G380" t="n">
        <v>10</v>
      </c>
      <c r="H380" s="3" t="n"/>
    </row>
    <row r="381" ht="15.75" customHeight="1">
      <c r="A381" s="1" t="inlineStr">
        <is>
          <t>Silverhollow</t>
        </is>
      </c>
      <c r="B381" t="n">
        <v>60463</v>
      </c>
      <c r="C381" t="inlineStr">
        <is>
          <t xml:space="preserve">The Code Commanders  </t>
        </is>
      </c>
      <c r="D381" t="inlineStr">
        <is>
          <t>Dustyn Crocco</t>
        </is>
      </c>
      <c r="F381" t="inlineStr">
        <is>
          <t>D2</t>
        </is>
      </c>
      <c r="G381" t="n">
        <v>7</v>
      </c>
      <c r="H381" s="3" t="n"/>
    </row>
    <row r="382" ht="15.75" customHeight="1">
      <c r="A382" s="1" t="inlineStr">
        <is>
          <t>Silverhollow</t>
        </is>
      </c>
      <c r="B382" t="n">
        <v>60911</v>
      </c>
      <c r="C382" t="inlineStr">
        <is>
          <t xml:space="preserve">The Debug Dragons  </t>
        </is>
      </c>
      <c r="D382" t="inlineStr">
        <is>
          <t>Anton Riedl</t>
        </is>
      </c>
      <c r="F382" t="inlineStr">
        <is>
          <t>D2</t>
        </is>
      </c>
      <c r="G382" t="n">
        <v>6</v>
      </c>
      <c r="H382" s="3" t="n"/>
    </row>
    <row r="383" ht="15.75" customHeight="1">
      <c r="A383" s="1" t="inlineStr">
        <is>
          <t>Silverhollow</t>
        </is>
      </c>
      <c r="B383" t="n">
        <v>61072</v>
      </c>
      <c r="C383" t="inlineStr">
        <is>
          <t xml:space="preserve">The Pixel Panthers  </t>
        </is>
      </c>
      <c r="D383" t="inlineStr">
        <is>
          <t>brandy Bergenstock</t>
        </is>
      </c>
      <c r="F383" t="inlineStr">
        <is>
          <t>D2</t>
        </is>
      </c>
      <c r="G383" t="n">
        <v>7</v>
      </c>
      <c r="H383" s="3" t="n"/>
    </row>
    <row r="384" ht="15.75" customHeight="1">
      <c r="A384" s="1" t="inlineStr">
        <is>
          <t>Silverhollow</t>
        </is>
      </c>
      <c r="B384" t="n">
        <v>66042</v>
      </c>
      <c r="C384" t="inlineStr">
        <is>
          <t xml:space="preserve">The Code Crew  </t>
        </is>
      </c>
      <c r="D384" t="inlineStr">
        <is>
          <t>Brittany Hamlin</t>
        </is>
      </c>
      <c r="F384" t="inlineStr">
        <is>
          <t>D2</t>
        </is>
      </c>
      <c r="G384" t="n">
        <v>7</v>
      </c>
      <c r="H384" s="3" t="n"/>
    </row>
    <row r="385" ht="15.75" customHeight="1">
      <c r="A385" s="1" t="inlineStr">
        <is>
          <t>Silverhollow</t>
        </is>
      </c>
      <c r="B385" t="n">
        <v>67160</v>
      </c>
      <c r="C385" t="inlineStr">
        <is>
          <t xml:space="preserve">The Data Dynamos  </t>
        </is>
      </c>
      <c r="D385" t="inlineStr">
        <is>
          <t>brandy Bergenstock</t>
        </is>
      </c>
      <c r="F385" t="inlineStr">
        <is>
          <t>D2</t>
        </is>
      </c>
      <c r="G385" t="n">
        <v>7</v>
      </c>
      <c r="H385" s="3" t="n"/>
    </row>
    <row r="386" ht="15.75" customHeight="1">
      <c r="A386" s="1" t="inlineStr">
        <is>
          <t>Silverhollow</t>
        </is>
      </c>
      <c r="B386" t="n">
        <v>70384</v>
      </c>
      <c r="C386" t="inlineStr">
        <is>
          <t xml:space="preserve">The Script Sprockets  </t>
        </is>
      </c>
      <c r="D386" t="inlineStr">
        <is>
          <t>Catianna Jackson</t>
        </is>
      </c>
      <c r="F386" t="inlineStr">
        <is>
          <t>D2</t>
        </is>
      </c>
      <c r="G386" t="n">
        <v>7</v>
      </c>
      <c r="H386" s="3" t="n"/>
    </row>
    <row r="387" ht="15.75" customHeight="1">
      <c r="A387" s="1" t="inlineStr">
        <is>
          <t>Silverhollow</t>
        </is>
      </c>
      <c r="B387" t="n">
        <v>71084</v>
      </c>
      <c r="C387" t="inlineStr">
        <is>
          <t xml:space="preserve">The Pixel Pythons  </t>
        </is>
      </c>
      <c r="D387" t="inlineStr">
        <is>
          <t>Suzanne Sloan</t>
        </is>
      </c>
      <c r="F387" t="inlineStr">
        <is>
          <t>D2</t>
        </is>
      </c>
      <c r="G387" t="n">
        <v>5</v>
      </c>
      <c r="H387" s="3" t="n"/>
    </row>
    <row r="388" ht="15.75" customHeight="1">
      <c r="A388" s="1" t="inlineStr">
        <is>
          <t>Silverhollow</t>
        </is>
      </c>
      <c r="B388" t="n">
        <v>71585</v>
      </c>
      <c r="C388" t="inlineStr">
        <is>
          <t xml:space="preserve">The Code Cyclones  </t>
        </is>
      </c>
      <c r="D388" t="inlineStr">
        <is>
          <t>Brittany Hamlin</t>
        </is>
      </c>
      <c r="F388" t="inlineStr">
        <is>
          <t>D2</t>
        </is>
      </c>
      <c r="G388" t="n">
        <v>5</v>
      </c>
      <c r="H388" s="3" t="n"/>
    </row>
    <row r="389" ht="15.75" customHeight="1">
      <c r="A389" s="1" t="inlineStr">
        <is>
          <t>Silverhollow</t>
        </is>
      </c>
      <c r="B389" t="n">
        <v>74378</v>
      </c>
      <c r="C389" t="inlineStr">
        <is>
          <t xml:space="preserve">The Debug Detectives  </t>
        </is>
      </c>
      <c r="D389" t="inlineStr">
        <is>
          <t>Kevin Green</t>
        </is>
      </c>
      <c r="F389" t="inlineStr">
        <is>
          <t>D2</t>
        </is>
      </c>
      <c r="G389" t="n">
        <v>2</v>
      </c>
      <c r="H389" s="3" t="n"/>
    </row>
    <row r="390" ht="15.75" customHeight="1">
      <c r="A390" s="1" t="inlineStr">
        <is>
          <t>Windmere_Gate</t>
        </is>
      </c>
      <c r="B390" t="n">
        <v>9021</v>
      </c>
      <c r="C390" t="inlineStr">
        <is>
          <t xml:space="preserve">The Pixel Pulse  </t>
        </is>
      </c>
      <c r="D390" t="inlineStr">
        <is>
          <t>John Sammons</t>
        </is>
      </c>
      <c r="F390" t="inlineStr">
        <is>
          <t>D1</t>
        </is>
      </c>
      <c r="G390" t="n">
        <v>10</v>
      </c>
      <c r="H390" s="3" t="n"/>
    </row>
    <row r="391" ht="15.75" customHeight="1">
      <c r="A391" s="1" t="inlineStr">
        <is>
          <t>Windmere_Gate</t>
        </is>
      </c>
      <c r="B391" t="n">
        <v>62149</v>
      </c>
      <c r="C391" t="inlineStr">
        <is>
          <t xml:space="preserve">The Code Crusaders  </t>
        </is>
      </c>
      <c r="D391" t="inlineStr">
        <is>
          <t>Jonathan Torch</t>
        </is>
      </c>
      <c r="F391" t="inlineStr">
        <is>
          <t>D1</t>
        </is>
      </c>
      <c r="G391" t="n">
        <v>10</v>
      </c>
      <c r="H391" s="3" t="n"/>
    </row>
    <row r="392" ht="15.75" customHeight="1">
      <c r="A392" s="1" t="inlineStr">
        <is>
          <t>Windmere_Gate</t>
        </is>
      </c>
      <c r="B392" t="n">
        <v>62706</v>
      </c>
      <c r="C392" t="inlineStr">
        <is>
          <t xml:space="preserve">The Data Droids  </t>
        </is>
      </c>
      <c r="D392" t="inlineStr">
        <is>
          <t>Patrick McFadden</t>
        </is>
      </c>
      <c r="F392" t="inlineStr">
        <is>
          <t>D1</t>
        </is>
      </c>
      <c r="G392" t="n">
        <v>7</v>
      </c>
      <c r="H392" s="3" t="n"/>
    </row>
    <row r="393" ht="15.75" customHeight="1">
      <c r="A393" s="1" t="inlineStr">
        <is>
          <t>Windmere_Gate</t>
        </is>
      </c>
      <c r="B393" t="n">
        <v>73002</v>
      </c>
      <c r="C393" t="inlineStr">
        <is>
          <t xml:space="preserve">The Script Soldiers  </t>
        </is>
      </c>
      <c r="D393" t="inlineStr">
        <is>
          <t>Kathy Hendrickson</t>
        </is>
      </c>
      <c r="F393" t="inlineStr">
        <is>
          <t>D1</t>
        </is>
      </c>
      <c r="G393" t="n">
        <v>5</v>
      </c>
      <c r="H393" s="3" t="n"/>
    </row>
    <row r="394" ht="15.75" customHeight="1">
      <c r="A394" s="1" t="inlineStr">
        <is>
          <t>Windmere_Gate</t>
        </is>
      </c>
      <c r="B394" t="n">
        <v>73106</v>
      </c>
      <c r="C394" t="inlineStr">
        <is>
          <t xml:space="preserve">The Pixel Patrol  </t>
        </is>
      </c>
      <c r="D394" t="inlineStr">
        <is>
          <t>Kiel Phillips</t>
        </is>
      </c>
      <c r="F394" t="inlineStr">
        <is>
          <t>D1</t>
        </is>
      </c>
      <c r="G394" t="n">
        <v>9</v>
      </c>
      <c r="H394" s="3" t="n"/>
    </row>
    <row r="395" ht="15.75" customHeight="1">
      <c r="A395" s="1" t="inlineStr">
        <is>
          <t>Windmere_Gate</t>
        </is>
      </c>
      <c r="B395" t="n">
        <v>24277</v>
      </c>
      <c r="C395" t="inlineStr">
        <is>
          <t xml:space="preserve">The Code Conquerors  </t>
        </is>
      </c>
      <c r="D395" t="inlineStr">
        <is>
          <t>Skip Morrow</t>
        </is>
      </c>
      <c r="F395" t="inlineStr">
        <is>
          <t>D2</t>
        </is>
      </c>
      <c r="G395" t="n">
        <v>6</v>
      </c>
      <c r="H395" s="3" t="n"/>
    </row>
    <row r="396" ht="15.75" customHeight="1">
      <c r="A396" s="1" t="inlineStr">
        <is>
          <t>Windmere_Gate</t>
        </is>
      </c>
      <c r="B396" t="n">
        <v>26034</v>
      </c>
      <c r="C396" t="inlineStr">
        <is>
          <t xml:space="preserve">The Debug Division  </t>
        </is>
      </c>
      <c r="D396" t="inlineStr">
        <is>
          <t>Patrick McFadden</t>
        </is>
      </c>
      <c r="F396" t="inlineStr">
        <is>
          <t>D2</t>
        </is>
      </c>
      <c r="G396" t="n">
        <v>7</v>
      </c>
      <c r="H396" s="3" t="n"/>
    </row>
    <row r="397" ht="15.75" customHeight="1">
      <c r="A397" s="1" t="inlineStr">
        <is>
          <t>Windmere_Gate</t>
        </is>
      </c>
      <c r="B397" t="n">
        <v>60801</v>
      </c>
      <c r="C397" t="inlineStr">
        <is>
          <t xml:space="preserve">The Pixel Pack  </t>
        </is>
      </c>
      <c r="D397" t="inlineStr">
        <is>
          <t>Heather Perry</t>
        </is>
      </c>
      <c r="F397" t="inlineStr">
        <is>
          <t>D2</t>
        </is>
      </c>
      <c r="G397" t="n">
        <v>6</v>
      </c>
      <c r="H397" s="3" t="n"/>
    </row>
    <row r="398" ht="15.75" customHeight="1">
      <c r="A398" s="1" t="inlineStr">
        <is>
          <t>Windmere_Gate</t>
        </is>
      </c>
      <c r="B398" t="n">
        <v>67083</v>
      </c>
      <c r="C398" t="inlineStr">
        <is>
          <t xml:space="preserve">The Code Collective  </t>
        </is>
      </c>
      <c r="D398" t="inlineStr">
        <is>
          <t>Jonathan Torch</t>
        </is>
      </c>
      <c r="F398" t="inlineStr">
        <is>
          <t>D2</t>
        </is>
      </c>
      <c r="G398" t="n">
        <v>8</v>
      </c>
      <c r="H398" s="3" t="n"/>
    </row>
    <row r="399" ht="15.75" customHeight="1">
      <c r="A399" s="1" t="inlineStr">
        <is>
          <t>Windmere_Gate</t>
        </is>
      </c>
      <c r="B399" t="n">
        <v>67801</v>
      </c>
      <c r="C399" t="inlineStr">
        <is>
          <t xml:space="preserve">The Data Defenders  </t>
        </is>
      </c>
      <c r="D399" t="inlineStr">
        <is>
          <t>Jhalak Pattnaik</t>
        </is>
      </c>
      <c r="F399" t="inlineStr">
        <is>
          <t>D2</t>
        </is>
      </c>
      <c r="G399" t="n">
        <v>4</v>
      </c>
      <c r="H399" s="3" t="n"/>
    </row>
    <row r="400" ht="15.75" customHeight="1">
      <c r="A400" s="1" t="inlineStr">
        <is>
          <t>Windmere_Gate</t>
        </is>
      </c>
      <c r="B400" t="n">
        <v>68850</v>
      </c>
      <c r="C400" t="inlineStr">
        <is>
          <t xml:space="preserve">The Script Squad  </t>
        </is>
      </c>
      <c r="D400" t="inlineStr">
        <is>
          <t>Kathy Hendrickson</t>
        </is>
      </c>
      <c r="F400" t="inlineStr">
        <is>
          <t>D2</t>
        </is>
      </c>
      <c r="G400" t="n">
        <v>4</v>
      </c>
      <c r="H400" s="3" t="n"/>
    </row>
    <row r="401" ht="15.75" customHeight="1">
      <c r="A401" s="1" t="inlineStr">
        <is>
          <t>Windmere_Gate</t>
        </is>
      </c>
      <c r="B401" t="n">
        <v>71673</v>
      </c>
      <c r="C401" t="inlineStr">
        <is>
          <t xml:space="preserve">The Pixel Programmers  </t>
        </is>
      </c>
      <c r="D401" t="inlineStr">
        <is>
          <t>Lisa Bromley</t>
        </is>
      </c>
      <c r="F401" t="inlineStr">
        <is>
          <t>D2</t>
        </is>
      </c>
      <c r="G401" t="n">
        <v>10</v>
      </c>
      <c r="H401" s="3" t="n"/>
    </row>
    <row r="402" ht="15.75" customHeight="1">
      <c r="A402" s="1" t="inlineStr">
        <is>
          <t>Praxion_Delta</t>
        </is>
      </c>
      <c r="B402" t="n">
        <v>52542</v>
      </c>
      <c r="C402" t="inlineStr">
        <is>
          <t xml:space="preserve">The Code Cadets  </t>
        </is>
      </c>
      <c r="D402" t="inlineStr">
        <is>
          <t>Hillary Goldsmith</t>
        </is>
      </c>
      <c r="F402" t="inlineStr">
        <is>
          <t>D1</t>
        </is>
      </c>
      <c r="G402" t="n">
        <v>6</v>
      </c>
      <c r="H402" s="3" t="n"/>
    </row>
    <row r="403" ht="15.75" customHeight="1">
      <c r="A403" s="1" t="inlineStr">
        <is>
          <t>Praxion_Delta</t>
        </is>
      </c>
      <c r="B403" t="n">
        <v>52543</v>
      </c>
      <c r="C403" t="inlineStr">
        <is>
          <t xml:space="preserve">The Debug Dynasty  </t>
        </is>
      </c>
      <c r="D403" t="inlineStr">
        <is>
          <t>Hillary Goldsmith</t>
        </is>
      </c>
      <c r="F403" t="inlineStr">
        <is>
          <t>D1</t>
        </is>
      </c>
      <c r="G403" t="n">
        <v>4</v>
      </c>
      <c r="H403" s="3" t="n"/>
    </row>
    <row r="404" ht="15.75" customHeight="1">
      <c r="A404" s="1" t="inlineStr">
        <is>
          <t>Praxion_Delta</t>
        </is>
      </c>
      <c r="B404" t="n">
        <v>52544</v>
      </c>
      <c r="C404" t="inlineStr">
        <is>
          <t xml:space="preserve">The Pixel Pioneers  </t>
        </is>
      </c>
      <c r="D404" t="inlineStr">
        <is>
          <t>Hillary Goldsmith</t>
        </is>
      </c>
      <c r="F404" t="inlineStr">
        <is>
          <t>D1</t>
        </is>
      </c>
      <c r="G404" t="n">
        <v>5</v>
      </c>
      <c r="H404" s="3" t="n"/>
    </row>
    <row r="405" ht="15.75" customHeight="1">
      <c r="A405" s="1" t="inlineStr">
        <is>
          <t>Praxion_Delta</t>
        </is>
      </c>
      <c r="B405" t="n">
        <v>55752</v>
      </c>
      <c r="C405" t="inlineStr">
        <is>
          <t xml:space="preserve">The Code Crushers  </t>
        </is>
      </c>
      <c r="D405" t="inlineStr">
        <is>
          <t>Jennifer Vermillion</t>
        </is>
      </c>
      <c r="F405" t="inlineStr">
        <is>
          <t>D1</t>
        </is>
      </c>
      <c r="G405" t="n">
        <v>6</v>
      </c>
      <c r="H405" s="3" t="n"/>
    </row>
    <row r="406" ht="15.75" customHeight="1">
      <c r="A406" s="1" t="inlineStr">
        <is>
          <t>Praxion_Delta</t>
        </is>
      </c>
      <c r="B406" t="n">
        <v>67194</v>
      </c>
      <c r="C406" t="inlineStr">
        <is>
          <t xml:space="preserve">The Data Drivers  </t>
        </is>
      </c>
      <c r="D406" t="inlineStr">
        <is>
          <t>Kevin Schatz</t>
        </is>
      </c>
      <c r="F406" t="inlineStr">
        <is>
          <t>D1</t>
        </is>
      </c>
      <c r="G406" t="n">
        <v>3</v>
      </c>
      <c r="H406" s="3" t="n"/>
    </row>
    <row r="407" ht="15.75" customHeight="1">
      <c r="A407" s="1" t="inlineStr">
        <is>
          <t>Praxion_Delta</t>
        </is>
      </c>
      <c r="B407" t="n">
        <v>68048</v>
      </c>
      <c r="C407" t="inlineStr">
        <is>
          <t xml:space="preserve">The Script Sprockets  </t>
        </is>
      </c>
      <c r="D407" t="inlineStr">
        <is>
          <t>Megan Grant</t>
        </is>
      </c>
      <c r="F407" t="inlineStr">
        <is>
          <t>D1</t>
        </is>
      </c>
      <c r="G407" t="n">
        <v>10</v>
      </c>
      <c r="H407" s="3" t="n"/>
    </row>
    <row r="408" ht="15.75" customHeight="1">
      <c r="A408" s="1" t="inlineStr">
        <is>
          <t>Praxion_Delta</t>
        </is>
      </c>
      <c r="B408" t="n">
        <v>69304</v>
      </c>
      <c r="C408" t="inlineStr">
        <is>
          <t xml:space="preserve">The Pixel Pirates  </t>
        </is>
      </c>
      <c r="D408" t="inlineStr">
        <is>
          <t>Hillary Goldsmith</t>
        </is>
      </c>
      <c r="F408" t="inlineStr">
        <is>
          <t>D1</t>
        </is>
      </c>
      <c r="G408" t="n">
        <v>4</v>
      </c>
      <c r="H408" s="3" t="n"/>
    </row>
    <row r="409" ht="15.75" customHeight="1">
      <c r="A409" s="1" t="inlineStr">
        <is>
          <t>Praxion_Delta</t>
        </is>
      </c>
      <c r="B409" t="n">
        <v>71506</v>
      </c>
      <c r="C409" t="inlineStr">
        <is>
          <t xml:space="preserve">The Code Commanders  </t>
        </is>
      </c>
      <c r="D409" t="inlineStr">
        <is>
          <t>Paul Rodi</t>
        </is>
      </c>
      <c r="F409" t="inlineStr">
        <is>
          <t>D1</t>
        </is>
      </c>
      <c r="G409" t="n">
        <v>4</v>
      </c>
      <c r="H409" s="3" t="n"/>
    </row>
    <row r="410" ht="15.75" customHeight="1">
      <c r="A410" s="1" t="inlineStr">
        <is>
          <t>Praxion_Delta</t>
        </is>
      </c>
      <c r="B410" t="n">
        <v>74379</v>
      </c>
      <c r="C410" t="inlineStr">
        <is>
          <t xml:space="preserve">The Debug Dragons  </t>
        </is>
      </c>
      <c r="D410" t="inlineStr">
        <is>
          <t>Hillary Goldsmith</t>
        </is>
      </c>
      <c r="F410" t="inlineStr">
        <is>
          <t>D1</t>
        </is>
      </c>
      <c r="G410" t="n">
        <v>5</v>
      </c>
      <c r="H410" s="3" t="n"/>
    </row>
    <row r="411" ht="15.75" customHeight="1">
      <c r="A411" s="1" t="inlineStr">
        <is>
          <t>Praxion_Delta</t>
        </is>
      </c>
      <c r="B411" t="n">
        <v>3097</v>
      </c>
      <c r="C411" t="inlineStr">
        <is>
          <t xml:space="preserve">The Pixel Panthers  </t>
        </is>
      </c>
      <c r="D411" t="inlineStr">
        <is>
          <t>Jennifer Vermillion</t>
        </is>
      </c>
      <c r="F411" t="inlineStr">
        <is>
          <t>D2</t>
        </is>
      </c>
      <c r="G411" t="n">
        <v>10</v>
      </c>
      <c r="H411" s="3" t="n"/>
    </row>
    <row r="412" ht="15.75" customHeight="1">
      <c r="A412" s="1" t="inlineStr">
        <is>
          <t>Praxion_Delta</t>
        </is>
      </c>
      <c r="B412" t="n">
        <v>55751</v>
      </c>
      <c r="C412" t="inlineStr">
        <is>
          <t xml:space="preserve">The Code Crew  </t>
        </is>
      </c>
      <c r="D412" t="inlineStr">
        <is>
          <t>Jennifer Vermillion</t>
        </is>
      </c>
      <c r="F412" t="inlineStr">
        <is>
          <t>D2</t>
        </is>
      </c>
      <c r="G412" t="n">
        <v>6</v>
      </c>
      <c r="H412" s="3" t="n"/>
    </row>
    <row r="413" ht="15.75" customHeight="1">
      <c r="A413" s="1" t="inlineStr">
        <is>
          <t>Praxion_Delta</t>
        </is>
      </c>
      <c r="B413" t="n">
        <v>56353</v>
      </c>
      <c r="C413" t="inlineStr">
        <is>
          <t xml:space="preserve">The Data Dynamos  </t>
        </is>
      </c>
      <c r="D413" t="inlineStr">
        <is>
          <t>David Shin</t>
        </is>
      </c>
      <c r="F413" t="inlineStr">
        <is>
          <t>D2</t>
        </is>
      </c>
      <c r="G413" t="n">
        <v>10</v>
      </c>
      <c r="H413" s="3" t="n"/>
    </row>
    <row r="414" ht="15.75" customHeight="1">
      <c r="A414" s="1" t="inlineStr">
        <is>
          <t>Praxion_Delta</t>
        </is>
      </c>
      <c r="B414" t="n">
        <v>67523</v>
      </c>
      <c r="C414" t="inlineStr">
        <is>
          <t xml:space="preserve">The Script Squad  </t>
        </is>
      </c>
      <c r="D414" t="inlineStr">
        <is>
          <t>Brian Watson</t>
        </is>
      </c>
      <c r="F414" t="inlineStr">
        <is>
          <t>D2</t>
        </is>
      </c>
      <c r="G414" t="n">
        <v>2</v>
      </c>
      <c r="H414" s="3" t="n"/>
    </row>
    <row r="415" ht="15.75" customHeight="1">
      <c r="A415" s="1" t="inlineStr">
        <is>
          <t>Praxion_Delta</t>
        </is>
      </c>
      <c r="B415" t="n">
        <v>67708</v>
      </c>
      <c r="C415" t="inlineStr">
        <is>
          <t xml:space="preserve">The Pixel Pythons  </t>
        </is>
      </c>
      <c r="D415" t="inlineStr">
        <is>
          <t>Carrie Simmons</t>
        </is>
      </c>
      <c r="F415" t="inlineStr">
        <is>
          <t>D2</t>
        </is>
      </c>
      <c r="G415" t="n">
        <v>6</v>
      </c>
      <c r="H415" s="3" t="n"/>
    </row>
    <row r="416" ht="15.75" customHeight="1">
      <c r="A416" s="1" t="inlineStr">
        <is>
          <t>Praxion_Delta</t>
        </is>
      </c>
      <c r="B416" t="n">
        <v>67985</v>
      </c>
      <c r="C416" t="inlineStr">
        <is>
          <t xml:space="preserve">The Code Cyclones  </t>
        </is>
      </c>
      <c r="D416" t="inlineStr">
        <is>
          <t>Thomas Maine</t>
        </is>
      </c>
      <c r="F416" t="inlineStr">
        <is>
          <t>D2</t>
        </is>
      </c>
      <c r="G416" t="n">
        <v>5</v>
      </c>
      <c r="H416" s="3" t="n"/>
    </row>
    <row r="417" ht="15.75" customHeight="1">
      <c r="A417" s="1" t="inlineStr">
        <is>
          <t>Praxion_Delta</t>
        </is>
      </c>
      <c r="B417" t="n">
        <v>67986</v>
      </c>
      <c r="C417" t="inlineStr">
        <is>
          <t xml:space="preserve">The Debug Detectives  </t>
        </is>
      </c>
      <c r="D417" t="inlineStr">
        <is>
          <t>Mildred Britt</t>
        </is>
      </c>
      <c r="F417" t="inlineStr">
        <is>
          <t>D2</t>
        </is>
      </c>
      <c r="G417" t="n">
        <v>2</v>
      </c>
      <c r="H417" s="3" t="n"/>
    </row>
    <row r="418" ht="15.75" customHeight="1">
      <c r="A418" s="1" t="inlineStr">
        <is>
          <t>Praxion_Delta</t>
        </is>
      </c>
      <c r="B418" t="n">
        <v>72065</v>
      </c>
      <c r="C418" t="inlineStr">
        <is>
          <t xml:space="preserve">The Pixel Pulse </t>
        </is>
      </c>
      <c r="D418" t="inlineStr">
        <is>
          <t>Mattie Wezah</t>
        </is>
      </c>
      <c r="F418" t="inlineStr">
        <is>
          <t>D2</t>
        </is>
      </c>
      <c r="G418" t="n">
        <v>3</v>
      </c>
      <c r="H418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4" sqref="B4"/>
    </sheetView>
  </sheetViews>
  <sheetFormatPr baseColWidth="8" defaultRowHeight="15"/>
  <cols>
    <col width="20.42578125" customWidth="1" min="1" max="1"/>
    <col width="52.42578125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s="1" t="inlineStr">
        <is>
          <t>Year</t>
        </is>
      </c>
      <c r="B2" s="1" t="n">
        <v>2026</v>
      </c>
    </row>
    <row r="3">
      <c r="A3" s="1" t="inlineStr">
        <is>
          <t>Season Name</t>
        </is>
      </c>
      <c r="B3" s="1" t="inlineStr">
        <is>
          <t>Bioglow</t>
        </is>
      </c>
    </row>
    <row r="4">
      <c r="A4" s="1" t="inlineStr">
        <is>
          <t>Divisions</t>
        </is>
      </c>
      <c r="B4" s="1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J6" sqref="J6"/>
    </sheetView>
  </sheetViews>
  <sheetFormatPr baseColWidth="8" defaultRowHeight="15"/>
  <cols>
    <col width="17.28515625" customWidth="1" min="1" max="1"/>
    <col width="17.28515625" bestFit="1" customWidth="1" min="2" max="2"/>
    <col width="11.7109375" bestFit="1" customWidth="1" min="3" max="3"/>
    <col width="8.140625" bestFit="1" customWidth="1" min="4" max="4"/>
    <col width="14" bestFit="1" customWidth="1" min="5" max="5"/>
    <col width="11.28515625" bestFit="1" customWidth="1" min="6" max="6"/>
    <col width="25.85546875" bestFit="1" customWidth="1" min="7" max="8"/>
    <col width="26.5703125" bestFit="1" customWidth="1" min="9" max="9"/>
    <col width="26.140625" bestFit="1" customWidth="1" min="10" max="10"/>
    <col width="26.140625" customWidth="1" min="11" max="12"/>
    <col width="19.28515625" bestFit="1" customWidth="1" min="13" max="13"/>
  </cols>
  <sheetData>
    <row r="1">
      <c r="A1" t="inlineStr">
        <is>
          <t>ColumnName</t>
        </is>
      </c>
      <c r="B1" t="inlineStr">
        <is>
          <t>Name</t>
        </is>
      </c>
      <c r="C1" t="inlineStr">
        <is>
          <t>DivAward</t>
        </is>
      </c>
      <c r="D1" t="inlineStr">
        <is>
          <t>TournCount</t>
        </is>
      </c>
      <c r="E1" t="inlineStr">
        <is>
          <t>D1Count</t>
        </is>
      </c>
      <c r="F1" t="inlineStr">
        <is>
          <t>D2Count</t>
        </is>
      </c>
      <c r="G1" t="inlineStr">
        <is>
          <t>Label1</t>
        </is>
      </c>
      <c r="H1" t="inlineStr">
        <is>
          <t>Label2</t>
        </is>
      </c>
      <c r="I1" t="inlineStr">
        <is>
          <t>Label3</t>
        </is>
      </c>
      <c r="J1" t="inlineStr">
        <is>
          <t>ScriptTagD1</t>
        </is>
      </c>
      <c r="K1" t="inlineStr">
        <is>
          <t>ScriptTagD2</t>
        </is>
      </c>
      <c r="L1" t="inlineStr">
        <is>
          <t>ScriptTagNoDiv</t>
        </is>
      </c>
    </row>
    <row r="2">
      <c r="A2" t="inlineStr">
        <is>
          <t>J_AWD_CHAMP</t>
        </is>
      </c>
      <c r="B2" t="inlineStr">
        <is>
          <t>Champions</t>
        </is>
      </c>
      <c r="C2" t="b">
        <v>1</v>
      </c>
      <c r="D2" t="n">
        <v>0</v>
      </c>
      <c r="E2" t="n">
        <v>0</v>
      </c>
      <c r="F2" t="n">
        <v>0</v>
      </c>
      <c r="G2" t="inlineStr">
        <is>
          <t>Champions 1st Place</t>
        </is>
      </c>
      <c r="H2" t="inlineStr">
        <is>
          <t>Champions 2nd Place</t>
        </is>
      </c>
      <c r="I2" t="inlineStr">
        <is>
          <t>Champions 3rd Place</t>
        </is>
      </c>
      <c r="J2" t="inlineStr">
        <is>
          <t>J_AWD_CHAMP_D1</t>
        </is>
      </c>
      <c r="K2" t="inlineStr">
        <is>
          <t>J_AWD_CHAMP_D2</t>
        </is>
      </c>
      <c r="L2" t="inlineStr">
        <is>
          <t>J_AWD_CHAMP</t>
        </is>
      </c>
    </row>
    <row r="3">
      <c r="A3" t="inlineStr">
        <is>
          <t>J_AWD_RD</t>
        </is>
      </c>
      <c r="B3" t="inlineStr">
        <is>
          <t>Robot Design</t>
        </is>
      </c>
      <c r="C3" t="b">
        <v>1</v>
      </c>
      <c r="D3" t="n">
        <v>0</v>
      </c>
      <c r="E3" t="n">
        <v>0</v>
      </c>
      <c r="F3" t="n">
        <v>0</v>
      </c>
      <c r="G3" t="inlineStr">
        <is>
          <t>Robot Design 1st Place</t>
        </is>
      </c>
      <c r="H3" t="inlineStr">
        <is>
          <t>Robot Design 2nd Place</t>
        </is>
      </c>
      <c r="I3" t="inlineStr">
        <is>
          <t>Robot Design 3rd Place</t>
        </is>
      </c>
      <c r="J3" t="inlineStr">
        <is>
          <t>J_AWD_RD_D1</t>
        </is>
      </c>
      <c r="K3" t="inlineStr">
        <is>
          <t>J_AWD_RD_D2</t>
        </is>
      </c>
      <c r="L3" t="inlineStr">
        <is>
          <t>J_AWD_RD</t>
        </is>
      </c>
    </row>
    <row r="4">
      <c r="A4" t="inlineStr">
        <is>
          <t>J_AWD_IP</t>
        </is>
      </c>
      <c r="B4" t="inlineStr">
        <is>
          <t>Innovation Project</t>
        </is>
      </c>
      <c r="C4" t="b">
        <v>1</v>
      </c>
      <c r="D4" t="n">
        <v>0</v>
      </c>
      <c r="E4" t="n">
        <v>0</v>
      </c>
      <c r="F4" t="n">
        <v>0</v>
      </c>
      <c r="G4" t="inlineStr">
        <is>
          <t>Innovation Project 1st Place</t>
        </is>
      </c>
      <c r="H4" t="inlineStr">
        <is>
          <t>Innovation Project 2nd Place</t>
        </is>
      </c>
      <c r="I4" t="inlineStr">
        <is>
          <t>Innovation Project 3rd Place</t>
        </is>
      </c>
      <c r="J4" t="inlineStr">
        <is>
          <t>J_AWD_IP_D1</t>
        </is>
      </c>
      <c r="K4" t="inlineStr">
        <is>
          <t>J_AWD_IP_D2</t>
        </is>
      </c>
      <c r="L4" t="inlineStr">
        <is>
          <t>J_AWD_IP</t>
        </is>
      </c>
    </row>
    <row r="5">
      <c r="A5" t="inlineStr">
        <is>
          <t>J_AWD_CV</t>
        </is>
      </c>
      <c r="B5" t="inlineStr">
        <is>
          <t>Core Values</t>
        </is>
      </c>
      <c r="C5" t="b">
        <v>1</v>
      </c>
      <c r="D5" t="n">
        <v>0</v>
      </c>
      <c r="E5" t="n">
        <v>0</v>
      </c>
      <c r="F5" t="n">
        <v>0</v>
      </c>
      <c r="G5" t="inlineStr">
        <is>
          <t>Core Values 1st Place</t>
        </is>
      </c>
      <c r="H5" t="inlineStr">
        <is>
          <t>Core Values 2nd Place</t>
        </is>
      </c>
      <c r="I5" t="inlineStr">
        <is>
          <t>Core Values 3rd Place</t>
        </is>
      </c>
      <c r="J5" t="inlineStr">
        <is>
          <t>J_AWD_CV_D1</t>
        </is>
      </c>
      <c r="K5" t="inlineStr">
        <is>
          <t>J_AWD_CV_D2</t>
        </is>
      </c>
      <c r="L5" t="inlineStr">
        <is>
          <t>J_AWD_CV</t>
        </is>
      </c>
    </row>
    <row r="6">
      <c r="A6" t="inlineStr">
        <is>
          <t>J_AWD_Judges</t>
        </is>
      </c>
      <c r="B6" t="inlineStr">
        <is>
          <t>Judges</t>
        </is>
      </c>
      <c r="C6" t="b">
        <v>0</v>
      </c>
      <c r="D6" t="n">
        <v>0</v>
      </c>
      <c r="E6" t="n">
        <v>0</v>
      </c>
      <c r="F6" t="n">
        <v>0</v>
      </c>
      <c r="G6" t="inlineStr">
        <is>
          <t>Judges 1</t>
        </is>
      </c>
      <c r="H6" t="inlineStr">
        <is>
          <t>Judges 2</t>
        </is>
      </c>
      <c r="I6" t="inlineStr">
        <is>
          <t>Judges 3</t>
        </is>
      </c>
      <c r="L6" t="inlineStr">
        <is>
          <t>J_AWD_Judges</t>
        </is>
      </c>
    </row>
    <row r="7">
      <c r="A7" s="1" t="inlineStr">
        <is>
          <t>P_AWD_RG</t>
        </is>
      </c>
      <c r="B7" t="inlineStr">
        <is>
          <t>Robot Game</t>
        </is>
      </c>
      <c r="C7" t="b">
        <v>1</v>
      </c>
      <c r="D7" t="n">
        <v>0</v>
      </c>
      <c r="E7" t="n">
        <v>0</v>
      </c>
      <c r="F7" t="n">
        <v>0</v>
      </c>
      <c r="G7" t="inlineStr">
        <is>
          <t>Robot Game 1st Place</t>
        </is>
      </c>
      <c r="H7" t="inlineStr">
        <is>
          <t>Robot Game 2nd Place</t>
        </is>
      </c>
      <c r="I7" t="inlineStr">
        <is>
          <t>Robot Game 3rd Place</t>
        </is>
      </c>
      <c r="J7" s="1" t="inlineStr">
        <is>
          <t>P_AWD_RG_D1</t>
        </is>
      </c>
      <c r="K7" s="1" t="inlineStr">
        <is>
          <t>P_AWD_RG_D2</t>
        </is>
      </c>
      <c r="L7" s="1" t="inlineStr">
        <is>
          <t>P_AWD_RG</t>
        </is>
      </c>
    </row>
    <row r="8">
      <c r="A8" s="1" t="inlineStr">
        <is>
          <t>J_AWD_BT</t>
        </is>
      </c>
      <c r="B8" t="inlineStr">
        <is>
          <t>Breakthrough</t>
        </is>
      </c>
      <c r="C8" t="b">
        <v>1</v>
      </c>
      <c r="D8" t="n">
        <v>0</v>
      </c>
      <c r="E8" t="n">
        <v>0</v>
      </c>
      <c r="F8" t="n">
        <v>0</v>
      </c>
      <c r="G8" t="inlineStr">
        <is>
          <t>Breakthrough 1st Place</t>
        </is>
      </c>
      <c r="H8" t="inlineStr">
        <is>
          <t>Breakthrough 2nd Place</t>
        </is>
      </c>
      <c r="I8" t="inlineStr">
        <is>
          <t>Breakthrough 3rd Place</t>
        </is>
      </c>
      <c r="J8" s="1" t="n"/>
      <c r="L8" s="1" t="inlineStr">
        <is>
          <t>J_AWD_BT</t>
        </is>
      </c>
    </row>
    <row r="9">
      <c r="A9" s="1" t="inlineStr">
        <is>
          <t>J_AWD_RisAll</t>
        </is>
      </c>
      <c r="B9" t="inlineStr">
        <is>
          <t>Rising Allstar</t>
        </is>
      </c>
      <c r="C9" t="b">
        <v>1</v>
      </c>
      <c r="D9" t="n">
        <v>0</v>
      </c>
      <c r="E9" t="n">
        <v>0</v>
      </c>
      <c r="F9" t="n">
        <v>0</v>
      </c>
      <c r="G9" t="inlineStr">
        <is>
          <t>Rising Allstar 1st Place</t>
        </is>
      </c>
      <c r="H9" t="inlineStr">
        <is>
          <t>Rising Allstar 2nd Place</t>
        </is>
      </c>
      <c r="I9" t="inlineStr">
        <is>
          <t>Rising Allstar 3rd Place</t>
        </is>
      </c>
      <c r="J9" s="1" t="n"/>
      <c r="L9" s="1" t="inlineStr">
        <is>
          <t>J_AWD_RisAll</t>
        </is>
      </c>
    </row>
    <row r="10">
      <c r="A10" s="1" t="inlineStr">
        <is>
          <t>J_AWD_CL</t>
        </is>
      </c>
      <c r="B10" t="inlineStr">
        <is>
          <t>Community Leader</t>
        </is>
      </c>
      <c r="C10" t="b">
        <v>1</v>
      </c>
      <c r="D10" t="n">
        <v>0</v>
      </c>
      <c r="E10" t="n">
        <v>0</v>
      </c>
      <c r="F10" t="n">
        <v>0</v>
      </c>
      <c r="G10" t="inlineStr">
        <is>
          <t>Community Leader 1st Place</t>
        </is>
      </c>
      <c r="H10" t="inlineStr">
        <is>
          <t>Community Leader 2nd Place</t>
        </is>
      </c>
      <c r="I10" t="inlineStr">
        <is>
          <t>Community Leader 3rd Place</t>
        </is>
      </c>
      <c r="J10" s="1" t="n"/>
      <c r="L10" s="1" t="inlineStr">
        <is>
          <t>J_AWD_CL</t>
        </is>
      </c>
    </row>
    <row r="11">
      <c r="A11" t="inlineStr">
        <is>
          <t>ADV</t>
        </is>
      </c>
      <c r="B11" t="inlineStr">
        <is>
          <t>Advancing</t>
        </is>
      </c>
      <c r="C11" t="b">
        <v>1</v>
      </c>
      <c r="D11" t="n">
        <v>0</v>
      </c>
      <c r="E11" t="n">
        <v>0</v>
      </c>
      <c r="F11" t="n">
        <v>0</v>
      </c>
      <c r="G11" t="inlineStr">
        <is>
          <t>Advancing 1</t>
        </is>
      </c>
      <c r="H11" t="inlineStr">
        <is>
          <t>Advancing 2</t>
        </is>
      </c>
      <c r="I11" t="inlineStr">
        <is>
          <t>Advancing 3</t>
        </is>
      </c>
      <c r="J11" t="inlineStr">
        <is>
          <t>ADV_D1</t>
        </is>
      </c>
      <c r="K11" t="inlineStr">
        <is>
          <t>ADV_D2</t>
        </is>
      </c>
      <c r="L11" t="inlineStr">
        <is>
          <t>ADV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Karen Berger</dc:creator>
  <dcterms:created xsi:type="dcterms:W3CDTF">2024-10-16T01:30:27Z</dcterms:created>
  <dcterms:modified xsi:type="dcterms:W3CDTF">2026-10-12T02:31:33Z</dcterms:modified>
  <cp:lastModifiedBy>Skip Morrow</cp:lastModifiedBy>
</cp:coreProperties>
</file>