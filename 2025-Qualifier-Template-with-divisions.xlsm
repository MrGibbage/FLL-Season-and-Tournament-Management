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F8E75F51-157B-42B6-8682-D91FB25FBD6E}" xr6:coauthVersionLast="47" xr6:coauthVersionMax="47" xr10:uidLastSave="{00000000-0000-0000-0000-000000000000}"/>
  <bookViews>
    <workbookView xWindow="-120" yWindow="-120" windowWidth="29040" windowHeight="15720" tabRatio="879" firstSheet="1"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<sst xmlns="http://schemas.openxmlformats.org/spreadsheetml/2006/main" count="185" uniqueCount="132">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</sst>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5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border>
        <bottom style="thin">
          <color rgb="FF002060"/>
        </bottom>
        <vertical/>
        <horizontal/>
      </border>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49" dataDxfId="148">
  <autoFilter ref="A2:D3" xr:uid="{00000000-0009-0000-0100-000001000000}"/>
  <sortState xmlns:xlrd2="http://schemas.microsoft.com/office/spreadsheetml/2017/richdata2" ref="A3:D3">
    <sortCondition ref="A3"/>
  </sortState>
  <tableColumns count="4">
    <tableColumn id="1" xr3:uid="{00000000-0010-0000-0000-000001000000}" name="Team #" dataDxfId="147"/>
    <tableColumn id="2" xr3:uid="{00000000-0010-0000-0000-000002000000}" name="Team Name" dataDxfId="146"/>
    <tableColumn id="3" xr3:uid="{00000000-0010-0000-0000-000003000000}" name="Coach Name" dataDxfId="145"/>
    <tableColumn id="4" xr3:uid="{00000000-0010-0000-0000-000004000000}" name="Pod Number" dataDxfId="1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43" dataDxfId="142">
  <autoFilter ref="A1:B2" xr:uid="{00000000-0009-0000-0100-000002000000}"/>
  <tableColumns count="2">
    <tableColumn id="1" xr3:uid="{00000000-0010-0000-0100-000001000000}" name="Key" dataDxfId="141"/>
    <tableColumn id="2" xr3:uid="{00000000-0010-0000-0100-000002000000}" name="Value" dataDxfId="1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38" dataDxfId="136" headerRowBorderDxfId="137">
  <autoFilter ref="A2:W3" xr:uid="{00000000-0009-0000-0100-000003000000}"/>
  <sortState xmlns:xlrd2="http://schemas.microsoft.com/office/spreadsheetml/2017/richdata2" ref="A3:W3">
    <sortCondition ref="A3"/>
  </sortState>
  <tableColumns count="23">
    <tableColumn id="1" xr3:uid="{00000000-0010-0000-0200-000001000000}" name="Team #" dataDxfId="135"/>
    <tableColumn id="13" xr3:uid="{B6F7889F-87AA-4A84-B629-ACB1A9C3B938}" name="POD" dataDxfId="134">
      <calculatedColumnFormula>INDEX(OfficialTeamList[Pod Number],MATCH(TournamentData[[#This Row],[Team '#]], OfficialTeamList[Team '#],0))</calculatedColumnFormula>
    </tableColumn>
    <tableColumn id="2" xr3:uid="{00000000-0010-0000-0200-000002000000}" name="Team Name" dataDxfId="133">
      <calculatedColumnFormula>INDEX(OfficialTeamList[Team Name],MATCH(TournamentData[[#This Row],[Team '#]], OfficialTeamList[Team '#],0))</calculatedColumnFormula>
    </tableColumn>
    <tableColumn id="6" xr3:uid="{00000000-0010-0000-02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'#]],CoreValuesResults[Team '#],0))</calculatedColumnFormula>
    </tableColumn>
    <tableColumn id="4" xr3:uid="{00000000-0010-0000-0200-000004000000}" name="Innovation Project Rank" dataDxfId="124">
      <calculatedColumnFormula>INDEX(InnovationProjectResults[Innovation Project Rank],MATCH(TournamentData[[#This Row],[Team '#]],InnovationProjectResults[Team '#],0))</calculatedColumnFormula>
    </tableColumn>
    <tableColumn id="5" xr3:uid="{00000000-0010-0000-0200-000005000000}" name="Robot Design Rank" dataDxfId="123">
      <calculatedColumnFormula>INDEX(RobotDesignResults[Robot Design Rank],MATCH(TournamentData[[#This Row],[Team '#]],RobotDesignResults[Team '#],0))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IF(U3,_xlfn.RANK.EQ(U3,U$3:U$3,0),NumberOfTeams)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 dataDxfId="109"/>
    <tableColumn id="9" xr3:uid="{00000000-0010-0000-0300-000009000000}" name="Team Name" dataDxfId="108">
      <calculatedColumnFormula>INDEX(OfficialTeamList[Team Name],MATCH(RobotGameScores[[#This Row],[Team '#]],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 dataDxfId="101"/>
    <tableColumn id="6" xr3:uid="{E46BEA07-C782-4EA7-A684-AB5012889F0E}" name="POD" dataDxfId="100">
      <calculatedColumnFormula>INDEX(OfficialTeamList[Pod Number],MATCH(InnovationProjectResults[[#This Row],[Team '#]], OfficialTeamList[Team '#],0))</calculatedColumnFormula>
    </tableColumn>
    <tableColumn id="2" xr3:uid="{00000000-0010-0000-0400-000002000000}" name="Team Name" dataDxfId="99">
      <calculatedColumnFormula>INDEX(OfficialTeamList[Team Name],MATCH(InnovationProjectResults[[#This Row],[Team '#]],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 dataDxfId="84"/>
    <tableColumn id="10" xr3:uid="{C0D2F65A-10A9-404F-9BBE-190FF9BD2C0E}" name="POD" dataDxfId="83">
      <calculatedColumnFormula>INDEX(OfficialTeamList[Pod Number],MATCH(RobotDesignResults[[#This Row],[Team '#]], OfficialTeamList[Team '#],0))</calculatedColumnFormula>
    </tableColumn>
    <tableColumn id="2" xr3:uid="{00000000-0010-0000-0500-000002000000}" name="Team Name" dataDxfId="82">
      <calculatedColumnFormula>INDEX(OfficialTeamList[Team Name],MATCH(RobotDesignResults[[#This Row],[Team '#]],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 dataDxfId="67"/>
    <tableColumn id="9" xr3:uid="{4361BCCF-6CA1-40A6-8943-E181C815C404}" name="POD" dataDxfId="66">
      <calculatedColumnFormula>INDEX(OfficialTeamList[Pod Number],MATCH(CoreValuesResults[[#This Row],[Team '#]], OfficialTeamList[Team '#],0))</calculatedColumnFormula>
    </tableColumn>
    <tableColumn id="2" xr3:uid="{00000000-0010-0000-0600-000002000000}" name="Team Name" dataDxfId="65">
      <calculatedColumnFormula>INDEX(OfficialTeamList[Team Name],MATCH(CoreValuesResults[[#This Row],[Team '#]], OfficialTeamList[Team '#],0))</calculatedColumnFormula>
    </tableColumn>
    <tableColumn id="3" xr3:uid="{00000000-0010-0000-0600-000003000000}" name="Identify - Research (CV-IP)" dataDxfId="64">
      <calculatedColumnFormula>INDEX(InnovationProjectResults[Identify - Research (CV)],MATCH(CoreValuesResults[[#This Row],[Team '#]],InnovationProjectResults[Team '#],0))</calculatedColumnFormula>
    </tableColumn>
    <tableColumn id="4" xr3:uid="{00000000-0010-0000-0600-000004000000}" name="Design - Teamwork (CV-IP)" dataDxfId="63">
      <calculatedColumnFormula>INDEX(InnovationProjectResults[Design - Teamwork (CV)],MATCH(CoreValuesResults[[#This Row],[Team '#]],InnovationProjectResults[Team '#],0))</calculatedColumnFormula>
    </tableColumn>
    <tableColumn id="5" xr3:uid="{00000000-0010-0000-0600-000005000000}" name="Create - Innovation (CV-IP)" dataDxfId="62">
      <calculatedColumnFormula>INDEX(InnovationProjectResults[Create - Innovation (CV)],MATCH(CoreValuesResults[[#This Row],[Team '#]],InnovationProjectResults[Team '#],0))</calculatedColumnFormula>
    </tableColumn>
    <tableColumn id="11" xr3:uid="{00000000-0010-0000-0600-00000B000000}" name="Communicate - Impact (CV-IP)" dataDxfId="61">
      <calculatedColumnFormula>INDEX(InnovationProjectResults[Communicate - Impact (CV)],MATCH(CoreValuesResults[[#This Row],[Team '#]],InnovationProjectResults[Team '#],0))</calculatedColumnFormula>
    </tableColumn>
    <tableColumn id="12" xr3:uid="{00000000-0010-0000-0600-00000C000000}" name="Communicate - Fun (CV-IP)" dataDxfId="60">
      <calculatedColumnFormula>INDEX(InnovationProjectResults[Communicate - Fun (CV)],MATCH(CoreValuesResults[[#This Row],[Team '#]],InnovationProjectResults[Team '#],0))</calculatedColumnFormula>
    </tableColumn>
    <tableColumn id="22" xr3:uid="{00000000-0010-0000-0600-000016000000}" name="Identify - Research (CV-RD)" dataDxfId="59">
      <calculatedColumnFormula>INDEX(RobotDesignResults[Identify - Research (CV)],MATCH(CoreValuesResults[[#This Row],[Team '#]],RobotDesignResults[Team '#],0))</calculatedColumnFormula>
    </tableColumn>
    <tableColumn id="25" xr3:uid="{00000000-0010-0000-0600-000019000000}" name="Design - Ideas (CV-RD)" dataDxfId="58">
      <calculatedColumnFormula>INDEX(RobotDesignResults[Design - Ideas (CV)],MATCH(CoreValuesResults[[#This Row],[Team '#]],RobotDesignResults[Team '#],0))</calculatedColumnFormula>
    </tableColumn>
    <tableColumn id="24" xr3:uid="{00000000-0010-0000-0600-000018000000}" name="Iterate - Improvements (CV-RD)" dataDxfId="57">
      <calculatedColumnFormula>INDEX(RobotDesignResults[Iterate - Improvements (CV)],MATCH(CoreValuesResults[[#This Row],[Team '#]],RobotDesignResults[Team '#],0))</calculatedColumnFormula>
    </tableColumn>
    <tableColumn id="23" xr3:uid="{00000000-0010-0000-0600-000017000000}" name="Communicate - Impact (CV-RD)" dataDxfId="56">
      <calculatedColumnFormula>INDEX(RobotDesignResults[Communicate - Impact (CV)],MATCH(CoreValuesResults[[#This Row],[Team '#]],RobotDesignResults[Team '#],0))</calculatedColumnFormula>
    </tableColumn>
    <tableColumn id="13" xr3:uid="{00000000-0010-0000-0600-00000D000000}" name="Communicate - Fun (CV-RD)" dataDxfId="55">
      <calculatedColumnFormula>INDEX(RobotDesignResults[Communicate - Fun (CV)],MATCH(CoreValuesResults[[#This Row],[Team '#]],RobotDesignResults[Team '#],0))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1" t="s">
        <v>11</v>
      </c>
      <c r="B1" s="101"/>
      <c r="C1" s="101"/>
      <c r="D1" s="101"/>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F3" activePane="bottomRight" state="frozen"/>
      <selection pane="topRight" activeCell="C1" sqref="C1"/>
      <selection pane="bottomLeft" activeCell="A3" sqref="A3"/>
      <selection pane="bottomRight" activeCell="A2" sqref="A2"/>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2" t="s">
        <v>17</v>
      </c>
      <c r="B1" s="102"/>
      <c r="C1" s="103"/>
      <c r="D1" s="102" t="s">
        <v>18</v>
      </c>
      <c r="E1" s="103"/>
      <c r="F1" s="103"/>
      <c r="G1" s="103"/>
      <c r="H1" s="103"/>
      <c r="I1" s="103"/>
      <c r="J1" s="103"/>
      <c r="K1" s="102" t="s">
        <v>19</v>
      </c>
      <c r="L1" s="103"/>
      <c r="M1" s="103"/>
      <c r="N1" s="102" t="s">
        <v>20</v>
      </c>
      <c r="O1" s="103"/>
      <c r="P1" s="4" t="s">
        <v>116</v>
      </c>
      <c r="Q1" s="97" t="e">
        <f>VLOOKUP("ADV", AwardDef[], 4,0)</f>
        <v>#N/A</v>
      </c>
      <c r="R1" s="102" t="s">
        <v>21</v>
      </c>
      <c r="S1" s="103"/>
      <c r="T1" s="103"/>
      <c r="U1" s="103"/>
      <c r="V1" s="103"/>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39"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2026-01-11T01:01:58Z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