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200" yWindow="4200" windowWidth="28800" windowHeight="15345" tabRatio="879" firstSheet="0"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GPScores">'GP Scores'!$A:$C</definedName>
    <definedName name="Awards">'AwardListDropdowns'!$A$3:$A$14</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0" fontId="2" fillId="0" borderId="0" applyProtection="1" pivotButton="0" quotePrefix="0" xfId="0">
      <protection locked="0" hidden="0"/>
    </xf>
    <xf numFmtId="1" fontId="2" fillId="0" borderId="0" pivotButton="0" quotePrefix="0" xfId="0"/>
    <xf numFmtId="0" fontId="2" fillId="0" borderId="0" applyAlignment="1" pivotButton="0" quotePrefix="0" xfId="0">
      <alignment wrapText="1"/>
    </xf>
  </cellXfs>
  <cellStyles count="1">
    <cellStyle name="Normal" xfId="0" builtinId="0"/>
  </cellStyles>
  <dxfs count="162">
    <dxf>
      <fill>
        <patternFill>
          <bgColor rgb="FFC5CAE9"/>
        </patternFill>
      </fill>
    </dxf>
    <dxf>
      <fill>
        <patternFill>
          <bgColor rgb="FF42A5F5"/>
        </patternFill>
      </fill>
    </dxf>
    <dxf>
      <border>
        <bottom style="thin">
          <color rgb="FF002060"/>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ont>
        <i val="1"/>
        <color rgb="00800080"/>
        <sz val="12"/>
      </font>
      <fill>
        <patternFill patternType="solid">
          <fgColor rgb="0000FF00"/>
          <bgColor rgb="0000FF00"/>
        </patternFill>
      </fill>
    </dxf>
    <dxf>
      <font>
        <i val="1"/>
        <color rgb="00800080"/>
        <sz val="11"/>
      </font>
      <fill>
        <patternFill patternType="solid">
          <fgColor rgb="00FF0000"/>
          <bgColor rgb="00FF0000"/>
        </patternFill>
      </fill>
    </dxf>
    <dxf>
      <font>
        <color rgb="00FFFFFF"/>
      </font>
      <fill>
        <patternFill patternType="solid">
          <fgColor rgb="004472C4"/>
          <bgColor rgb="004472C4"/>
        </patternFill>
      </fill>
    </dxf>
    <dxf>
      <fill>
        <patternFill patternType="solid">
          <fgColor rgb="0000FF00"/>
          <bgColor rgb="0000FF00"/>
        </patternFill>
      </fill>
    </dxf>
    <dxf>
      <fill>
        <patternFill patternType="solid">
          <fgColor rgb="00FFFF99"/>
          <bgColor rgb="00FFFF99"/>
        </patternFill>
      </fill>
    </dxf>
    <dxf>
      <fill>
        <patternFill patternType="solid">
          <fgColor rgb="00FFD700"/>
          <bgColor rgb="00FFD700"/>
        </patternFill>
      </fill>
    </dxf>
    <dxf>
      <fill>
        <patternFill patternType="solid">
          <fgColor rgb="00C0C0C0"/>
          <bgColor rgb="00C0C0C0"/>
        </patternFill>
      </fill>
    </dxf>
    <dxf>
      <fill>
        <patternFill patternType="solid">
          <fgColor rgb="00CD7F32"/>
          <bgColor rgb="00CD7F32"/>
        </patternFill>
      </fill>
    </dxf>
    <dxf>
      <fill>
        <patternFill patternType="solid">
          <fgColor rgb="009BC2E6"/>
          <bgColor rgb="009BC2E6"/>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4" headerRowCount="1" insertRow="1" totalsRowShown="0" headerRowDxfId="152" dataDxfId="151">
  <autoFilter ref="A2:D3"/>
  <sortState ref="A3:D3">
    <sortCondition ref="A3"/>
  </sortState>
  <tableColumns count="4">
    <tableColumn id="1" name="Team #" dataDxfId="150"/>
    <tableColumn id="2" name="Team Name" dataDxfId="149"/>
    <tableColumn id="3" name="Coach Name" dataDxfId="148"/>
    <tableColumn id="4" name="Pod Number" dataDxfId="147"/>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8" headerRowCount="1" insertRow="1" totalsRowShown="0" headerRowDxfId="146" dataDxfId="145">
  <autoFilter ref="A1:B2"/>
  <tableColumns count="2">
    <tableColumn id="1" name="Key" dataDxfId="144"/>
    <tableColumn id="2" name="Value" dataDxfId="143"/>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2:B14" headerRowCount="1" insertRow="1" totalsRowShown="0">
  <autoFilter ref="A2:B3"/>
  <tableColumns count="2">
    <tableColumn id="1" name="Award"/>
    <tableColumn id="2" name="I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D2:D5" headerRowCount="1" insertRow="1" totalsRowShown="0">
  <autoFilter ref="D2:D3"/>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J12" headerRowCount="1" insertRow="1" totalsRowShown="0">
  <autoFilter ref="A1:J2"/>
  <tableColumns count="10">
    <tableColumn id="1" name="ColumnName"/>
    <tableColumn id="2" name="Name"/>
    <tableColumn id="3" name="DivAward"/>
    <tableColumn id="4" name="Count"/>
    <tableColumn id="7" name="Label1"/>
    <tableColumn id="8" name="Label2"/>
    <tableColumn id="9" name="Label3"/>
    <tableColumn id="19" name="ScriptTagD1"/>
    <tableColumn id="10" name="ScriptTagD2"/>
    <tableColumn id="11" name="ScriptTagNoDiv"/>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4" headerRowCount="1" totalsRowShown="0" headerRowDxfId="142" dataDxfId="140" headerRowBorderDxfId="141">
  <autoFilter ref="A2:W3"/>
  <sortState ref="A3:W3">
    <sortCondition ref="A3"/>
  </sortState>
  <tableColumns count="23">
    <tableColumn id="1" name="Team #" dataDxfId="139"/>
    <tableColumn id="13" name="POD" dataDxfId="138">
      <calculatedColumnFormula>INDEX(OfficialTeamList[Pod Number],MATCH(TournamentData[[#This Row],[Team '#]], OfficialTeamList[Team '#],0))</calculatedColumnFormula>
    </tableColumn>
    <tableColumn id="2" name="Team Name" dataDxfId="137">
      <calculatedColumnFormula>INDEX(OfficialTeamList[Team Name],MATCH(TournamentData[[#This Row],[Team '#]], OfficialTeamList[Team '#],0))</calculatedColumnFormula>
    </tableColumn>
    <tableColumn id="6" name="Robot Game Score 1" dataDxfId="136">
      <calculatedColumnFormula>IF(TournamentData[[#This Row],[Team '#]]="","",IF(ISNA(INDEX('Robot Game Scores'!C:C,MATCH(TournamentData[[#This Row],[Team '#]], 'Robot Game Scores'!$A:$A,0))),0,INDEX('Robot Game Scores'!C:C,MATCH(TournamentData[[#This Row],[Team '#]], 'Robot Game Scores'!$A:$A,0))))</calculatedColumnFormula>
    </tableColumn>
    <tableColumn id="7" name="Robot Game Score 2" dataDxfId="135">
      <calculatedColumnFormula>IF(TournamentData[[#This Row],[Team '#]]="","",IF(ISNA(INDEX('Robot Game Scores'!D:D,MATCH(TournamentData[[#This Row],[Team '#]], 'Robot Game Scores'!$A:$A,0))),0,INDEX('Robot Game Scores'!D:D,MATCH(TournamentData[[#This Row],[Team '#]], 'Robot Game Scores'!$A:$A,0))))</calculatedColumnFormula>
    </tableColumn>
    <tableColumn id="8" name="Robot Game Score 3" dataDxfId="134">
      <calculatedColumnFormula>IF(TournamentData[[#This Row],[Team '#]]="","",IF(ISNA(INDEX('Robot Game Scores'!E:E,MATCH(TournamentData[[#This Row],[Team '#]], 'Robot Game Scores'!$A:$A,0))),0,INDEX('Robot Game Scores'!E:E,MATCH(TournamentData[[#This Row],[Team '#]], 'Robot Game Scores'!$A:$A,0))))</calculatedColumnFormula>
    </tableColumn>
    <tableColumn id="16" name="Robot Game Score 4" dataDxfId="133">
      <calculatedColumnFormula>IF(TournamentData[[#This Row],[Team '#]]="","",IF(ISNA(INDEX('Robot Game Scores'!#REF!,MATCH(TournamentData[[#This Row],[Team '#]], 'Robot Game Scores'!$A:$A,0))),0,INDEX('Robot Game Scores'!#REF!,MATCH(TournamentData[[#This Row],[Team '#]], 'Robot Game Scores'!$A:$A,0))))</calculatedColumnFormula>
    </tableColumn>
    <tableColumn id="9" name="Robot Game Score 5" dataDxfId="132">
      <calculatedColumnFormula>IF(TournamentData[[#This Row],[Team '#]]="","",IF(ISNA(INDEX('Robot Game Scores'!#REF!,MATCH(TournamentData[[#This Row],[Team '#]], 'Robot Game Scores'!$A:$A,0))),0,INDEX('Robot Game Scores'!#REF!,MATCH(TournamentData[[#This Row],[Team '#]], 'Robot Game Scores'!$A:$A,0))))</calculatedColumnFormula>
    </tableColumn>
    <tableColumn id="10" name="Max Robot Game Score" dataDxfId="131">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0">
      <calculatedColumnFormula>_xlfn.RANK.EQ(TournamentData[[#This Row],[Max Robot Game Score]],TournamentData[Max Robot Game Score])</calculatedColumnFormula>
    </tableColumn>
    <tableColumn id="3" name="Core Values Rank" dataDxfId="129">
      <calculatedColumnFormula>INDEX(CoreValuesResults[Core Values Rank],MATCH(TournamentData[[#This Row],[Team '#]],CoreValuesResults[Team '#],0))</calculatedColumnFormula>
    </tableColumn>
    <tableColumn id="4" name="Innovation Project Rank" dataDxfId="128">
      <calculatedColumnFormula>INDEX(InnovationProjectResults[Innovation Project Rank],MATCH(TournamentData[[#This Row],[Team '#]],InnovationProjectResults[Team '#],0))</calculatedColumnFormula>
    </tableColumn>
    <tableColumn id="5" name="Robot Design Rank" dataDxfId="127">
      <calculatedColumnFormula>INDEX(RobotDesignResults[Robot Design Rank],MATCH(TournamentData[[#This Row],[Team '#]],RobotDesignResults[Team '#],0))</calculatedColumnFormula>
    </tableColumn>
    <tableColumn id="14" name="Champion's Score" dataDxfId="126">
      <calculatedColumnFormula>SUM(TournamentData[[#This Row],[Robot Game Rank]:[Robot Design Rank]])</calculatedColumnFormula>
    </tableColumn>
    <tableColumn id="11" name="Champion's Rank" dataDxfId="125">
      <calculatedColumnFormula>RANK(TournamentData[[#This Row],[Champion''s Score]],TournamentData[Champion''s Score],1)</calculatedColumnFormula>
    </tableColumn>
    <tableColumn id="12" name="Award" dataDxfId="124"/>
    <tableColumn id="21" name="Advance?" dataDxfId="123" dataCellStyle="Normal"/>
    <tableColumn id="28" name="Core Values Score" dataDxfId="122">
      <calculatedColumnFormula>IF(ISNA(INDEX(CoreValuesResults[Core Values Score],MATCH(TournamentData[[#This Row],[Team '#]],CoreValuesResults[Team '#],0))),0,INDEX(CoreValuesResults[Core Values Score],MATCH(TournamentData[[#This Row],[Team '#]],CoreValuesResults[Team '#],0)))</calculatedColumnFormula>
    </tableColumn>
    <tableColumn id="27" name="Innovattion Project Score" dataDxfId="121">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name="Robot Design Score" dataDxfId="120">
      <calculatedColumnFormula>IF(ISNA(INDEX(RobotDesignResults[Robot Design Score],MATCH(TournamentData[[#This Row],[Team '#]],RobotDesignResults[Team '#],0))),0,INDEX(RobotDesignResults[Robot Design Score],MATCH(TournamentData[[#This Row],[Team '#]],RobotDesignResults[Team '#],0)))</calculatedColumnFormula>
    </tableColumn>
    <tableColumn id="25" name="Overall Score - Geometric Mean" dataDxfId="119">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8">
      <calculatedColumnFormula>IF(U3,_xlfn.RANK.EQ(U3,U$3:U$3,0),NumberOfTeams)</calculatedColumnFormula>
    </tableColumn>
    <tableColumn id="20" name="Comments" dataDxfId="117"/>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3" headerRowCount="1" totalsRowShown="0" headerRowDxfId="116" dataDxfId="114" headerRowBorderDxfId="115">
  <autoFilter ref="A1:F2"/>
  <sortState ref="A2:F2">
    <sortCondition ref="A2"/>
  </sortState>
  <tableColumns count="6">
    <tableColumn id="2" name="Team #" dataDxfId="113"/>
    <tableColumn id="9" name="Team Name" dataDxfId="112">
      <calculatedColumnFormula>INDEX(OfficialTeamList[Team Name],MATCH(RobotGameScores[[#This Row],[Team '#]], OfficialTeamList[Team '#],0))</calculatedColumnFormula>
    </tableColumn>
    <tableColumn id="3" name="Robot Game 1 Score" dataDxfId="111"/>
    <tableColumn id="4" name="Robot Game 2 Score" dataDxfId="110"/>
    <tableColumn id="5" name="Robot Game 3 Score" dataDxfId="109"/>
    <tableColumn id="8" name="Highest Robot Game Score" dataDxfId="108">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3" headerRowCount="1" totalsRowShown="0" headerRowDxfId="107" dataDxfId="106">
  <autoFilter ref="A1:O2"/>
  <sortState ref="A2:O2">
    <sortCondition ref="A2"/>
  </sortState>
  <tableColumns count="15">
    <tableColumn id="1" name="Team #" dataDxfId="105"/>
    <tableColumn id="6" name="POD" dataDxfId="104">
      <calculatedColumnFormula>INDEX(OfficialTeamList[Pod Number],MATCH(InnovationProjectResults[[#This Row],[Team '#]], OfficialTeamList[Team '#],0))</calculatedColumnFormula>
    </tableColumn>
    <tableColumn id="2" name="Team Name" dataDxfId="103">
      <calculatedColumnFormula>INDEX(OfficialTeamList[Team Name],MATCH(InnovationProjectResults[[#This Row],[Team '#]], OfficialTeamList[Team '#],0))</calculatedColumnFormula>
    </tableColumn>
    <tableColumn id="3" name="Identify - Define" dataDxfId="102"/>
    <tableColumn id="4" name="Identify - Research (CV)" dataDxfId="101"/>
    <tableColumn id="5" name="Design - Plan" dataDxfId="100"/>
    <tableColumn id="7" name="Design - Teamwork (CV)" dataDxfId="99"/>
    <tableColumn id="10" name="Create - Innovation (CV)" dataDxfId="98"/>
    <tableColumn id="8" name="Create - Model" dataDxfId="97"/>
    <tableColumn id="9" name="Iterate - Sharing" dataDxfId="96"/>
    <tableColumn id="11" name="Iterate - Improvement" dataDxfId="95"/>
    <tableColumn id="12" name="Communicate - Impact (CV)" dataDxfId="94"/>
    <tableColumn id="13" name="Communicate - Fun (CV)" dataDxfId="93"/>
    <tableColumn id="19" name="Innovation Project Score" dataDxfId="92">
      <calculatedColumnFormula>SUM(InnovationProjectResults[[#This Row],[Identify - Define]:[Communicate - Fun (CV)]])</calculatedColumnFormula>
    </tableColumn>
    <tableColumn id="20" name="Innovation Project Rank" dataDxfId="91">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3" headerRowCount="1" totalsRowShown="0" headerRowDxfId="90" dataDxfId="89">
  <autoFilter ref="A1:O2"/>
  <sortState ref="A2:O2">
    <sortCondition ref="A2"/>
  </sortState>
  <tableColumns count="15">
    <tableColumn id="1" name="Team #" dataDxfId="88"/>
    <tableColumn id="10" name="POD" dataDxfId="87">
      <calculatedColumnFormula>INDEX(OfficialTeamList[Pod Number],MATCH(RobotDesignResults[[#This Row],[Team '#]], OfficialTeamList[Team '#],0))</calculatedColumnFormula>
    </tableColumn>
    <tableColumn id="2" name="Team Name" dataDxfId="86">
      <calculatedColumnFormula>INDEX(OfficialTeamList[Team Name],MATCH(RobotDesignResults[[#This Row],[Team '#]], OfficialTeamList[Team '#],0))</calculatedColumnFormula>
    </tableColumn>
    <tableColumn id="3" name="Identify - Strategy" dataDxfId="85"/>
    <tableColumn id="4" name="Identify - Research (CV)" dataDxfId="84"/>
    <tableColumn id="5" name="Design - Ideas (CV)" dataDxfId="83"/>
    <tableColumn id="7" name="Design - Building/Coding" dataDxfId="82"/>
    <tableColumn id="6" name="Create - Attachments" dataDxfId="81"/>
    <tableColumn id="8" name="Create - Code/ Sensors" dataDxfId="80"/>
    <tableColumn id="9" name="Iterate - Testing" dataDxfId="79"/>
    <tableColumn id="11" name="Iterate - Improvements (CV)" dataDxfId="78"/>
    <tableColumn id="12" name="Communicate - Impact (CV)" dataDxfId="77"/>
    <tableColumn id="13" name="Communicate - Fun (CV)" dataDxfId="76"/>
    <tableColumn id="19" name="Robot Design Score" dataDxfId="75">
      <calculatedColumnFormula>SUM(RobotDesignResults[[#This Row],[Identify - Strategy]:[Communicate - Fun (CV)]])</calculatedColumnFormula>
    </tableColumn>
    <tableColumn id="20" name="Robot Design Rank" dataDxfId="74">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3" headerRowCount="1" totalsRowShown="0" headerRowDxfId="73" dataDxfId="72">
  <autoFilter ref="A1:T2"/>
  <sortState ref="A2:T2">
    <sortCondition ref="A2"/>
  </sortState>
  <tableColumns count="20">
    <tableColumn id="1" name="Team #" dataDxfId="71"/>
    <tableColumn id="9" name="POD" dataDxfId="70">
      <calculatedColumnFormula>INDEX(OfficialTeamList[Pod Number],MATCH(CoreValuesResults[[#This Row],[Team '#]], OfficialTeamList[Team '#],0))</calculatedColumnFormula>
    </tableColumn>
    <tableColumn id="2" name="Team Name" dataDxfId="69">
      <calculatedColumnFormula>INDEX(OfficialTeamList[Team Name],MATCH(CoreValuesResults[[#This Row],[Team '#]], OfficialTeamList[Team '#],0))</calculatedColumnFormula>
    </tableColumn>
    <tableColumn id="3" name="Identify - Research (CV-IP)" dataDxfId="68">
      <calculatedColumnFormula>INDEX(InnovationProjectResults[Identify - Research (CV)],MATCH(CoreValuesResults[[#This Row],[Team '#]],InnovationProjectResults[Team '#],0))</calculatedColumnFormula>
    </tableColumn>
    <tableColumn id="4" name="Design - Teamwork (CV-IP)" dataDxfId="67">
      <calculatedColumnFormula>INDEX(InnovationProjectResults[Design - Teamwork (CV)],MATCH(CoreValuesResults[[#This Row],[Team '#]],InnovationProjectResults[Team '#],0))</calculatedColumnFormula>
    </tableColumn>
    <tableColumn id="5" name="Create - Innovation (CV-IP)" dataDxfId="66">
      <calculatedColumnFormula>INDEX(InnovationProjectResults[Create - Innovation (CV)],MATCH(CoreValuesResults[[#This Row],[Team '#]],InnovationProjectResults[Team '#],0))</calculatedColumnFormula>
    </tableColumn>
    <tableColumn id="11" name="Communicate - Impact (CV-IP)" dataDxfId="65">
      <calculatedColumnFormula>INDEX(InnovationProjectResults[Communicate - Impact (CV)],MATCH(CoreValuesResults[[#This Row],[Team '#]],InnovationProjectResults[Team '#],0))</calculatedColumnFormula>
    </tableColumn>
    <tableColumn id="12" name="Communicate - Fun (CV-IP)" dataDxfId="64">
      <calculatedColumnFormula>INDEX(InnovationProjectResults[Communicate - Fun (CV)],MATCH(CoreValuesResults[[#This Row],[Team '#]],InnovationProjectResults[Team '#],0))</calculatedColumnFormula>
    </tableColumn>
    <tableColumn id="22" name="Identify - Research (CV-RD)" dataDxfId="63">
      <calculatedColumnFormula>INDEX(RobotDesignResults[Identify - Research (CV)],MATCH(CoreValuesResults[[#This Row],[Team '#]],RobotDesignResults[Team '#],0))</calculatedColumnFormula>
    </tableColumn>
    <tableColumn id="25" name="Design - Ideas (CV-RD)" dataDxfId="62">
      <calculatedColumnFormula>INDEX(RobotDesignResults[Design - Ideas (CV)],MATCH(CoreValuesResults[[#This Row],[Team '#]],RobotDesignResults[Team '#],0))</calculatedColumnFormula>
    </tableColumn>
    <tableColumn id="24" name="Iterate - Improvements (CV-RD)" dataDxfId="61">
      <calculatedColumnFormula>INDEX(RobotDesignResults[Iterate - Improvements (CV)],MATCH(CoreValuesResults[[#This Row],[Team '#]],RobotDesignResults[Team '#],0))</calculatedColumnFormula>
    </tableColumn>
    <tableColumn id="23" name="Communicate - Impact (CV-RD)" dataDxfId="60">
      <calculatedColumnFormula>INDEX(RobotDesignResults[Communicate - Impact (CV)],MATCH(CoreValuesResults[[#This Row],[Team '#]],RobotDesignResults[Team '#],0))</calculatedColumnFormula>
    </tableColumn>
    <tableColumn id="13" name="Communicate - Fun (CV-RD)" dataDxfId="59">
      <calculatedColumnFormula>INDEX(RobotDesignResults[Communicate - Fun (CV)],MATCH(CoreValuesResults[[#This Row],[Team '#]],RobotDesignResults[Team '#],0))</calculatedColumnFormula>
    </tableColumn>
    <tableColumn id="7" name="Gracious Professionalism 1" dataDxfId="58"/>
    <tableColumn id="8" name="Gracious Professionalism 2" dataDxfId="57"/>
    <tableColumn id="6" name="Gracious Professionalism 3" dataDxfId="56"/>
    <tableColumn id="14" name="Gracious Professionalism Total" dataDxfId="55">
      <calculatedColumnFormula>SUM(CoreValuesResults[[#This Row],[Gracious Professionalism 1]:[Gracious Professionalism 3]])</calculatedColumnFormula>
    </tableColumn>
    <tableColumn id="18" name="Gracious Professionalism Score" dataDxfId="54">
      <calculatedColumnFormula>SUM(N2:Q2)</calculatedColumnFormula>
    </tableColumn>
    <tableColumn id="19" name="Core Values Score" dataDxfId="53">
      <calculatedColumnFormula>SUM(CoreValuesResults[[#This Row],[Identify - Research (CV-IP)]:[Communicate - Fun (CV-RD)]],CoreValuesResults[[#This Row],[Gracious Professionalism Score]])</calculatedColumnFormula>
    </tableColumn>
    <tableColumn id="20" name="Core Values Rank" dataDxfId="52">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1" dataDxfId="50">
  <autoFilter ref="B3:E18"/>
  <tableColumns count="4">
    <tableColumn id="1" name="Team Number" dataDxfId="49"/>
    <tableColumn id="2" name="Team Name" dataDxfId="48">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7">
      <calculatedColumnFormula>IF(ISNA(INDEX(TournamentData[Champion''s Rank],MATCH(ChampionsDelib[[#This Row],[Team Number]],TournamentData[Team '#],0))),NumberOfTeams+1,INDEX(TournamentData[Champion''s Rank],MATCH(ChampionsDelib[[#This Row],[Team Number]],TournamentData[Team '#],0)))</calculatedColumnFormula>
    </tableColumn>
    <tableColumn id="4" name="Deliberated Rank" dataDxfId="46"/>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5" dataDxfId="44">
  <autoFilter ref="G3:J18"/>
  <tableColumns count="4">
    <tableColumn id="1" name="Team Number" dataDxfId="43"/>
    <tableColumn id="2" name="Team Name" dataDxfId="42">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1">
      <calculatedColumnFormula>IF(ISNA(INDEX(TournamentData[Champion''s Rank],MATCH(RobotGameDelib[[#This Row],[Team Number]],TournamentData[Team '#],0))),NumberOfTeams+1,INDEX(TournamentData[Champion''s Rank],MATCH(RobotGameDelib[[#This Row],[Team Number]],TournamentData[Team '#],0)))</calculatedColumnFormula>
    </tableColumn>
    <tableColumn id="4" name="Deliberated Rank" dataDxfId="40"/>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9" dataDxfId="38">
  <autoFilter ref="B21:E36"/>
  <tableColumns count="4">
    <tableColumn id="1" name="Team Number" dataDxfId="37"/>
    <tableColumn id="2" name="Team Name" dataDxfId="36">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5">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name="Deliberated Rank" dataDxfId="34"/>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33" dataDxfId="32">
  <autoFilter ref="G21:J36"/>
  <tableColumns count="4">
    <tableColumn id="1" name="Team Number" dataDxfId="31"/>
    <tableColumn id="2" name="Team Name" dataDxfId="30">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9">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name="Deliberated Rank" dataDxfId="28"/>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7" dataDxfId="26">
  <autoFilter ref="L21:O36"/>
  <tableColumns count="4">
    <tableColumn id="1" name="Team Number" dataDxfId="25"/>
    <tableColumn id="2" name="Team Name" dataDxfId="24">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23">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name="Deliberated Rank" dataDxfId="22"/>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1" dataDxfId="20">
  <autoFilter ref="B39:E54"/>
  <tableColumns count="4">
    <tableColumn id="1" name="Team Number" dataDxfId="19"/>
    <tableColumn id="2" name="Team Name" dataDxfId="18">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7">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name="Deliberated Rank" dataDxfId="16"/>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5" dataDxfId="14">
  <autoFilter ref="G39:J54"/>
  <tableColumns count="4">
    <tableColumn id="1" name="Team Number" dataDxfId="13"/>
    <tableColumn id="2" name="Team Name" dataDxfId="12">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1">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name="Deliberated Rank" dataDxfId="10"/>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9" dataDxfId="8">
  <autoFilter ref="L39:O54"/>
  <tableColumns count="4">
    <tableColumn id="1" name="Team Number" dataDxfId="7"/>
    <tableColumn id="2" name="Team Name" dataDxfId="6">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5">
      <calculatedColumnFormula>IF(ISNA(INDEX(TournamentData[Champion''s Rank],MATCH(MotivateDelib[[#This Row],[Team Number]],TournamentData[Team '#],0))),NumberOfTeams+1,INDEX(TournamentData[Champion''s Rank],MATCH(MotivateDelib[[#This Row],[Team Number]],TournamentData[Team '#],0)))</calculatedColumnFormula>
    </tableColumn>
    <tableColumn id="4" name="Deliberated Rank" dataDxfId="4"/>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4"/>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ht="21" customHeight="1">
      <c r="A4" s="104" t="n">
        <v>24277</v>
      </c>
      <c r="B4" s="104" t="inlineStr">
        <is>
          <t>Norfolk Collegiate O.A.K.S.</t>
        </is>
      </c>
      <c r="C4" s="104" t="inlineStr">
        <is>
          <t>Skip Morrow</t>
        </is>
      </c>
      <c r="D4" s="105" t="n">
        <v>0</v>
      </c>
    </row>
    <row r="5" ht="21" customHeight="1">
      <c r="A5" s="104" t="n">
        <v>26034</v>
      </c>
      <c r="B5" s="104" t="inlineStr">
        <is>
          <t>OLMC White Team</t>
        </is>
      </c>
      <c r="C5" s="104" t="inlineStr">
        <is>
          <t>Patrick McFadden</t>
        </is>
      </c>
      <c r="D5" s="105" t="n">
        <v>0</v>
      </c>
    </row>
    <row r="6" ht="21" customHeight="1">
      <c r="A6" s="104" t="n">
        <v>60801</v>
      </c>
      <c r="B6" s="104" t="inlineStr">
        <is>
          <t>ESPs</t>
        </is>
      </c>
      <c r="C6" s="104" t="inlineStr">
        <is>
          <t>Heather Perry</t>
        </is>
      </c>
      <c r="D6" s="105" t="n">
        <v>0</v>
      </c>
    </row>
    <row r="7" ht="21" customHeight="1">
      <c r="A7" s="104" t="n">
        <v>62149</v>
      </c>
      <c r="B7" s="104" t="inlineStr">
        <is>
          <t>Dynamite Dolphins</t>
        </is>
      </c>
      <c r="C7" s="104" t="inlineStr">
        <is>
          <t>Jonathan Torch</t>
        </is>
      </c>
      <c r="D7" s="105" t="n">
        <v>0</v>
      </c>
    </row>
    <row r="8" ht="21" customHeight="1">
      <c r="A8" s="104" t="n">
        <v>62706</v>
      </c>
      <c r="B8" s="104" t="inlineStr">
        <is>
          <t>OLMC Aquinas</t>
        </is>
      </c>
      <c r="C8" s="104" t="inlineStr">
        <is>
          <t>Patrick McFadden</t>
        </is>
      </c>
      <c r="D8" s="105" t="n">
        <v>0</v>
      </c>
    </row>
    <row r="9" ht="21" customHeight="1">
      <c r="A9" s="104" t="n">
        <v>67083</v>
      </c>
      <c r="B9" s="104" t="inlineStr">
        <is>
          <t>Wired Dolphins</t>
        </is>
      </c>
      <c r="C9" s="104" t="inlineStr">
        <is>
          <t>Jonathan Torch</t>
        </is>
      </c>
      <c r="D9" s="105" t="n">
        <v>0</v>
      </c>
    </row>
    <row r="10" ht="21" customHeight="1">
      <c r="A10" s="104" t="n">
        <v>67801</v>
      </c>
      <c r="B10" s="104" t="inlineStr">
        <is>
          <t>Scorpion Tech Force</t>
        </is>
      </c>
      <c r="C10" s="104" t="inlineStr">
        <is>
          <t>Jhalak Pattnaik</t>
        </is>
      </c>
      <c r="D10" s="105" t="n">
        <v>0</v>
      </c>
    </row>
    <row r="11" ht="21" customHeight="1">
      <c r="A11" s="104" t="n">
        <v>68850</v>
      </c>
      <c r="B11" s="104" t="inlineStr">
        <is>
          <t>MCH Marvels</t>
        </is>
      </c>
      <c r="C11" s="104" t="inlineStr">
        <is>
          <t>Kathy Hendrickson</t>
        </is>
      </c>
      <c r="D11" s="105" t="n">
        <v>0</v>
      </c>
    </row>
    <row r="12" ht="21" customHeight="1">
      <c r="A12" s="104" t="n">
        <v>71673</v>
      </c>
      <c r="B12" s="104" t="inlineStr">
        <is>
          <t>SMS Eaglebots 1</t>
        </is>
      </c>
      <c r="C12" s="104" t="inlineStr">
        <is>
          <t>Lisa Bromley</t>
        </is>
      </c>
      <c r="D12" s="105" t="n">
        <v>0</v>
      </c>
    </row>
    <row r="13" ht="21" customHeight="1">
      <c r="A13" s="104" t="n">
        <v>73002</v>
      </c>
      <c r="B13" s="104" t="inlineStr">
        <is>
          <t>MCH Monarchs</t>
        </is>
      </c>
      <c r="C13" s="104" t="inlineStr">
        <is>
          <t>Kathy Hendrickson</t>
        </is>
      </c>
      <c r="D13" s="105" t="n">
        <v>0</v>
      </c>
    </row>
    <row r="14" ht="21" customHeight="1">
      <c r="A14" s="104" t="n">
        <v>73106</v>
      </c>
      <c r="B14" s="104" t="inlineStr">
        <is>
          <t>Kempsville Dino-Nuggets</t>
        </is>
      </c>
      <c r="C14" s="104" t="inlineStr">
        <is>
          <t>Kiel Phillips</t>
        </is>
      </c>
      <c r="D14" s="105"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8"/>
  <sheetViews>
    <sheetView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0</v>
      </c>
    </row>
    <row r="8">
      <c r="A8" t="inlineStr">
        <is>
          <t>Advancing</t>
        </is>
      </c>
      <c r="B8"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D14"/>
  <sheetViews>
    <sheetView workbookViewId="0">
      <selection activeCell="A1" sqref="A1"/>
    </sheetView>
  </sheetViews>
  <sheetFormatPr baseColWidth="8" defaultRowHeight="15"/>
  <cols>
    <col width="34.5703125" customWidth="1" min="1" max="2"/>
    <col width="30.28515625" customWidth="1" min="4" max="4"/>
  </cols>
  <sheetData>
    <row r="1">
      <c r="A1">
        <f>COUNTA(AwardListDropdowns[Award])</f>
        <v/>
      </c>
    </row>
    <row r="2">
      <c r="A2" t="inlineStr">
        <is>
          <t>Award</t>
        </is>
      </c>
      <c r="B2" t="inlineStr">
        <is>
          <t>ID</t>
        </is>
      </c>
      <c r="D2" t="inlineStr">
        <is>
          <t>Robot Game Awards</t>
        </is>
      </c>
    </row>
    <row r="3">
      <c r="A3" t="inlineStr">
        <is>
          <t>Champions 1st Place</t>
        </is>
      </c>
      <c r="B3" t="inlineStr">
        <is>
          <t>J_AWD_CHAMP</t>
        </is>
      </c>
      <c r="D3" t="inlineStr">
        <is>
          <t>Robot Game 1st Place</t>
        </is>
      </c>
    </row>
    <row r="4">
      <c r="A4" t="inlineStr">
        <is>
          <t>Champions 2nd Place</t>
        </is>
      </c>
      <c r="B4" t="inlineStr">
        <is>
          <t>J_AWD_CHAMP</t>
        </is>
      </c>
      <c r="D4" t="inlineStr">
        <is>
          <t>Robot Game 2nd Place</t>
        </is>
      </c>
    </row>
    <row r="5">
      <c r="A5" t="inlineStr">
        <is>
          <t>Innovation Project 1st Place</t>
        </is>
      </c>
      <c r="B5" t="inlineStr">
        <is>
          <t>J_AWD_IP</t>
        </is>
      </c>
      <c r="D5" t="inlineStr">
        <is>
          <t>Robot Game 3rd Place</t>
        </is>
      </c>
    </row>
    <row r="6">
      <c r="A6" t="inlineStr">
        <is>
          <t>Robot Design 1st Place</t>
        </is>
      </c>
      <c r="B6" t="inlineStr">
        <is>
          <t>J_AWD_RD</t>
        </is>
      </c>
    </row>
    <row r="7">
      <c r="A7" t="inlineStr">
        <is>
          <t>Core Values 1st Place</t>
        </is>
      </c>
      <c r="B7" t="inlineStr">
        <is>
          <t>J_AWD_CV</t>
        </is>
      </c>
    </row>
    <row r="8">
      <c r="A8" t="inlineStr">
        <is>
          <t>Core Values 2nd Place</t>
        </is>
      </c>
      <c r="B8" t="inlineStr">
        <is>
          <t>J_AWD_CV</t>
        </is>
      </c>
    </row>
    <row r="9">
      <c r="A9" t="inlineStr">
        <is>
          <t>Core Values 3rd Place</t>
        </is>
      </c>
      <c r="B9" t="inlineStr">
        <is>
          <t>J_AWD_CV</t>
        </is>
      </c>
    </row>
    <row r="10">
      <c r="A10" t="inlineStr">
        <is>
          <t>Judges 1</t>
        </is>
      </c>
      <c r="B10" t="inlineStr">
        <is>
          <t>J_AWD_Judges</t>
        </is>
      </c>
    </row>
    <row r="11">
      <c r="A11" t="inlineStr">
        <is>
          <t>Judges 2</t>
        </is>
      </c>
      <c r="B11" t="inlineStr">
        <is>
          <t>J_AWD_Judges</t>
        </is>
      </c>
    </row>
    <row r="12">
      <c r="A12" t="inlineStr">
        <is>
          <t>Judges 3</t>
        </is>
      </c>
      <c r="B12" t="inlineStr">
        <is>
          <t>J_AWD_Judges</t>
        </is>
      </c>
    </row>
    <row r="13">
      <c r="A13" t="inlineStr">
        <is>
          <t>Breakthrough 1st Place</t>
        </is>
      </c>
      <c r="B13" t="inlineStr">
        <is>
          <t>J_AWD_BT</t>
        </is>
      </c>
    </row>
    <row r="14">
      <c r="A14" t="inlineStr">
        <is>
          <t>Fooziest 1</t>
        </is>
      </c>
      <c r="B14" t="inlineStr">
        <is>
          <t>J_AWD_Foo</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J12"/>
  <sheetViews>
    <sheetView workbookViewId="0">
      <selection activeCell="A2" sqref="A2"/>
    </sheetView>
  </sheetViews>
  <sheetFormatPr baseColWidth="8" defaultRowHeight="15"/>
  <cols>
    <col width="17.5703125" bestFit="1" customWidth="1" min="1" max="1"/>
    <col width="8" bestFit="1" customWidth="1" min="2" max="2"/>
    <col width="13.7109375" bestFit="1" customWidth="1" min="3" max="3"/>
    <col width="10.85546875" bestFit="1" customWidth="1" min="4" max="4"/>
    <col width="9" bestFit="1" customWidth="1" min="5" max="7"/>
    <col width="13.5703125" bestFit="1" customWidth="1" min="8" max="9"/>
    <col width="16.85546875" bestFit="1" customWidth="1" min="10" max="10"/>
  </cols>
  <sheetData>
    <row r="1">
      <c r="A1" t="inlineStr">
        <is>
          <t>ColumnName</t>
        </is>
      </c>
      <c r="B1" t="inlineStr">
        <is>
          <t>Name</t>
        </is>
      </c>
      <c r="C1" t="inlineStr">
        <is>
          <t>DivAward</t>
        </is>
      </c>
      <c r="D1" t="inlineStr">
        <is>
          <t>Count</t>
        </is>
      </c>
      <c r="E1" t="inlineStr">
        <is>
          <t>Label1</t>
        </is>
      </c>
      <c r="F1" t="inlineStr">
        <is>
          <t>Label2</t>
        </is>
      </c>
      <c r="G1" t="inlineStr">
        <is>
          <t>Label3</t>
        </is>
      </c>
      <c r="H1" t="inlineStr">
        <is>
          <t>ScriptTagD1</t>
        </is>
      </c>
      <c r="I1" t="inlineStr">
        <is>
          <t>ScriptTagD2</t>
        </is>
      </c>
      <c r="J1" t="inlineStr">
        <is>
          <t>ScriptTagNoDiv</t>
        </is>
      </c>
    </row>
    <row r="2">
      <c r="A2" t="inlineStr">
        <is>
          <t>J_AWD_CHAMP</t>
        </is>
      </c>
      <c r="B2" t="inlineStr">
        <is>
          <t>Champions</t>
        </is>
      </c>
      <c r="C2" t="inlineStr">
        <is>
          <t>FALSE</t>
        </is>
      </c>
      <c r="D2" t="n">
        <v>2</v>
      </c>
      <c r="E2" t="inlineStr">
        <is>
          <t>Champions 1st Place</t>
        </is>
      </c>
      <c r="F2" t="inlineStr">
        <is>
          <t>Champions 2nd Place</t>
        </is>
      </c>
      <c r="G2" t="inlineStr">
        <is>
          <t>Champions 3rd Place</t>
        </is>
      </c>
      <c r="H2" t="inlineStr">
        <is>
          <t>J_AWD_CHAMP_D1</t>
        </is>
      </c>
      <c r="I2" t="inlineStr">
        <is>
          <t>J_AWD_CHAMP_D2</t>
        </is>
      </c>
      <c r="J2" t="inlineStr">
        <is>
          <t>J_AWD_CHAMP</t>
        </is>
      </c>
    </row>
    <row r="3">
      <c r="A3" t="inlineStr">
        <is>
          <t>J_AWD_RD</t>
        </is>
      </c>
      <c r="B3" t="inlineStr">
        <is>
          <t>Robot Design</t>
        </is>
      </c>
      <c r="C3" t="inlineStr">
        <is>
          <t>FALSE</t>
        </is>
      </c>
      <c r="D3" t="n">
        <v>1</v>
      </c>
      <c r="E3" t="inlineStr">
        <is>
          <t>Robot Design 1st Place</t>
        </is>
      </c>
      <c r="F3" t="inlineStr">
        <is>
          <t>Robot Design 2nd Place</t>
        </is>
      </c>
      <c r="G3" t="inlineStr">
        <is>
          <t>Robot Design 3rd Place</t>
        </is>
      </c>
      <c r="H3" t="inlineStr">
        <is>
          <t>J_AWD_RD_D1</t>
        </is>
      </c>
      <c r="I3" t="inlineStr">
        <is>
          <t>J_AWD_RD_D2</t>
        </is>
      </c>
      <c r="J3" t="inlineStr">
        <is>
          <t>J_AWD_RD</t>
        </is>
      </c>
    </row>
    <row r="4">
      <c r="A4" t="inlineStr">
        <is>
          <t>J_AWD_IP</t>
        </is>
      </c>
      <c r="B4" t="inlineStr">
        <is>
          <t>Innovation Project</t>
        </is>
      </c>
      <c r="C4" t="inlineStr">
        <is>
          <t>FALSE</t>
        </is>
      </c>
      <c r="D4" t="n">
        <v>1</v>
      </c>
      <c r="E4" t="inlineStr">
        <is>
          <t>Innovation Project 1st Place</t>
        </is>
      </c>
      <c r="F4" t="inlineStr">
        <is>
          <t>Innovation Project 2nd Place</t>
        </is>
      </c>
      <c r="G4" t="inlineStr">
        <is>
          <t>Innovation Project 3rd Place</t>
        </is>
      </c>
      <c r="H4" t="inlineStr">
        <is>
          <t>J_AWD_IP_D1</t>
        </is>
      </c>
      <c r="I4" t="inlineStr">
        <is>
          <t>J_AWD_IP_D2</t>
        </is>
      </c>
      <c r="J4" t="inlineStr">
        <is>
          <t>J_AWD_IP</t>
        </is>
      </c>
    </row>
    <row r="5">
      <c r="A5" t="inlineStr">
        <is>
          <t>J_AWD_CV</t>
        </is>
      </c>
      <c r="B5" t="inlineStr">
        <is>
          <t>Core Values</t>
        </is>
      </c>
      <c r="C5" t="inlineStr">
        <is>
          <t>FALSE</t>
        </is>
      </c>
      <c r="D5" t="n">
        <v>3</v>
      </c>
      <c r="E5" t="inlineStr">
        <is>
          <t>Core Values 1st Place</t>
        </is>
      </c>
      <c r="F5" t="inlineStr">
        <is>
          <t>Core Values 2nd Place</t>
        </is>
      </c>
      <c r="G5" t="inlineStr">
        <is>
          <t>Core Values 3rd Place</t>
        </is>
      </c>
      <c r="H5" t="inlineStr">
        <is>
          <t>J_AWD_CV_D1</t>
        </is>
      </c>
      <c r="I5" t="inlineStr">
        <is>
          <t>J_AWD_CV_D2</t>
        </is>
      </c>
      <c r="J5" t="inlineStr">
        <is>
          <t>J_AWD_CV</t>
        </is>
      </c>
    </row>
    <row r="6">
      <c r="A6" t="inlineStr">
        <is>
          <t>J_AWD_Judges</t>
        </is>
      </c>
      <c r="B6" t="inlineStr">
        <is>
          <t>Judges</t>
        </is>
      </c>
      <c r="C6" t="inlineStr">
        <is>
          <t>FALSE</t>
        </is>
      </c>
      <c r="D6" t="n">
        <v>3</v>
      </c>
      <c r="E6" t="inlineStr">
        <is>
          <t>Judges 1</t>
        </is>
      </c>
      <c r="F6" t="inlineStr">
        <is>
          <t>Judges 2</t>
        </is>
      </c>
      <c r="G6" t="inlineStr">
        <is>
          <t>Judges 3</t>
        </is>
      </c>
      <c r="H6" t="inlineStr"/>
      <c r="I6" t="inlineStr"/>
      <c r="J6" t="inlineStr">
        <is>
          <t>J_AWD_Judges</t>
        </is>
      </c>
    </row>
    <row r="7">
      <c r="A7" t="inlineStr">
        <is>
          <t>P_AWD_RG</t>
        </is>
      </c>
      <c r="B7" t="inlineStr">
        <is>
          <t>Robot Game</t>
        </is>
      </c>
      <c r="C7" t="inlineStr">
        <is>
          <t>FALSE</t>
        </is>
      </c>
      <c r="D7" t="n">
        <v>3</v>
      </c>
      <c r="E7" t="inlineStr">
        <is>
          <t>Robot Game 1st Place</t>
        </is>
      </c>
      <c r="F7" t="inlineStr">
        <is>
          <t>Robot Game 2nd Place</t>
        </is>
      </c>
      <c r="G7" t="inlineStr">
        <is>
          <t>Robot Game 3rd Place</t>
        </is>
      </c>
      <c r="H7" t="inlineStr">
        <is>
          <t>P_AWD_RG_D1</t>
        </is>
      </c>
      <c r="I7" t="inlineStr">
        <is>
          <t>P_AWD_RG_D2</t>
        </is>
      </c>
      <c r="J7" t="inlineStr">
        <is>
          <t>P_AWD_RG</t>
        </is>
      </c>
    </row>
    <row r="8">
      <c r="A8" t="inlineStr">
        <is>
          <t>J_AWD_BT</t>
        </is>
      </c>
      <c r="B8" t="inlineStr">
        <is>
          <t>Breakthrough</t>
        </is>
      </c>
      <c r="C8" t="inlineStr">
        <is>
          <t>FALSE</t>
        </is>
      </c>
      <c r="D8" t="n">
        <v>1</v>
      </c>
      <c r="E8" t="inlineStr">
        <is>
          <t>Breakthrough 1st Place</t>
        </is>
      </c>
      <c r="F8" t="inlineStr">
        <is>
          <t>Breakthrough 2nd Place</t>
        </is>
      </c>
      <c r="G8" t="inlineStr">
        <is>
          <t>Breakthrough 3rd Place</t>
        </is>
      </c>
      <c r="H8" t="inlineStr"/>
      <c r="I8" t="inlineStr"/>
      <c r="J8" t="inlineStr">
        <is>
          <t>J_AWD_BT</t>
        </is>
      </c>
    </row>
    <row r="9">
      <c r="A9" t="inlineStr">
        <is>
          <t>J_AWD_Foo</t>
        </is>
      </c>
      <c r="B9" t="inlineStr">
        <is>
          <t>Foobar</t>
        </is>
      </c>
      <c r="C9" t="inlineStr">
        <is>
          <t>FALSE</t>
        </is>
      </c>
      <c r="D9" t="n">
        <v>1</v>
      </c>
      <c r="E9" t="inlineStr">
        <is>
          <t>Fooziest 1</t>
        </is>
      </c>
      <c r="F9" t="inlineStr">
        <is>
          <t>Fooziest 2</t>
        </is>
      </c>
      <c r="G9" t="inlineStr">
        <is>
          <t>Fooziest 3</t>
        </is>
      </c>
      <c r="H9" t="inlineStr"/>
      <c r="I9" t="inlineStr">
        <is>
          <t>_D1</t>
        </is>
      </c>
      <c r="J9" t="inlineStr">
        <is>
          <t>J_AWD_Foo</t>
        </is>
      </c>
    </row>
    <row r="10">
      <c r="A10" t="inlineStr">
        <is>
          <t>J_AWD_RisAll</t>
        </is>
      </c>
      <c r="B10" t="inlineStr">
        <is>
          <t>Rising Allstar</t>
        </is>
      </c>
      <c r="C10" t="inlineStr">
        <is>
          <t>FALSE</t>
        </is>
      </c>
      <c r="D10" t="n">
        <v>0</v>
      </c>
      <c r="E10" t="inlineStr">
        <is>
          <t>Rising Allstar 1st Place</t>
        </is>
      </c>
      <c r="F10" t="inlineStr">
        <is>
          <t>Rising Allstar 2nd Place</t>
        </is>
      </c>
      <c r="G10" t="inlineStr">
        <is>
          <t>Rising Allstar 3rd Place</t>
        </is>
      </c>
      <c r="H10" t="inlineStr"/>
      <c r="I10" t="inlineStr"/>
      <c r="J10" t="inlineStr">
        <is>
          <t>J_AWD_RisAll</t>
        </is>
      </c>
    </row>
    <row r="11">
      <c r="A11" t="inlineStr">
        <is>
          <t>J_AWD_CL</t>
        </is>
      </c>
      <c r="B11" t="inlineStr">
        <is>
          <t>Community Leader</t>
        </is>
      </c>
      <c r="C11" t="inlineStr">
        <is>
          <t>FALSE</t>
        </is>
      </c>
      <c r="D11" t="n">
        <v>0</v>
      </c>
      <c r="E11" t="inlineStr">
        <is>
          <t>Community Leader 1st Place</t>
        </is>
      </c>
      <c r="F11" t="inlineStr">
        <is>
          <t>Community Leader 2nd Place</t>
        </is>
      </c>
      <c r="G11" t="inlineStr">
        <is>
          <t>Community Leader 3rd Place</t>
        </is>
      </c>
      <c r="H11" t="inlineStr"/>
      <c r="I11" t="inlineStr"/>
      <c r="J11" t="inlineStr">
        <is>
          <t>J_AWD_CL</t>
        </is>
      </c>
    </row>
    <row r="12">
      <c r="A12" t="inlineStr">
        <is>
          <t>ADV</t>
        </is>
      </c>
      <c r="B12" t="inlineStr">
        <is>
          <t>Advancing</t>
        </is>
      </c>
      <c r="C12" t="inlineStr">
        <is>
          <t>FALSE</t>
        </is>
      </c>
      <c r="D12" t="n">
        <v>3</v>
      </c>
      <c r="E12" t="inlineStr">
        <is>
          <t>Advancing 1</t>
        </is>
      </c>
      <c r="F12" t="inlineStr">
        <is>
          <t>Advancing 2</t>
        </is>
      </c>
      <c r="G12" t="inlineStr">
        <is>
          <t>Advancing 3</t>
        </is>
      </c>
      <c r="H12" t="inlineStr">
        <is>
          <t>ADV_D1</t>
        </is>
      </c>
      <c r="I12" t="inlineStr">
        <is>
          <t>ADV_D2</t>
        </is>
      </c>
      <c r="J12" t="inlineStr">
        <is>
          <t>ADV</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4"/>
  <sheetViews>
    <sheetView tabSelected="1" zoomScaleNormal="100" workbookViewId="0">
      <pane xSplit="3" ySplit="2" topLeftCell="F3" activePane="bottomRight" state="frozen"/>
      <selection pane="topRight" activeCell="C1" sqref="C1"/>
      <selection pane="bottomLeft" activeCell="A3" sqref="A3"/>
      <selection pane="bottomRight" activeCell="Q3" sqref="Q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4,0)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 OfficialTeamList[Team '#],0))</f>
        <v/>
      </c>
      <c r="C3" s="95">
        <f>INDEX(OfficialTeamList[Team Name],MATCH(TournamentData[[#This Row],[Team '#]], OfficialTeamList[Team '#],0))</f>
        <v/>
      </c>
      <c r="D3" s="73">
        <f>IF(TournamentData[[#This Row],[Team '#]]="","",IF(ISNA(INDEX('Robot Game Scores'!C:C,MATCH(TournamentData[[#This Row],[Team '#]], 'Robot Game Scores'!$A:$A,0))),0,INDEX('Robot Game Scores'!C:C,MATCH(TournamentData[[#This Row],[Team '#]], 'Robot Game Scores'!$A:$A,0))))</f>
        <v/>
      </c>
      <c r="E3" s="73">
        <f>IF(TournamentData[[#This Row],[Team '#]]="","",IF(ISNA(INDEX('Robot Game Scores'!D:D,MATCH(TournamentData[[#This Row],[Team '#]], 'Robot Game Scores'!$A:$A,0))),0,INDEX('Robot Game Scores'!D:D,MATCH(TournamentData[[#This Row],[Team '#]], 'Robot Game Scores'!$A:$A,0))))</f>
        <v/>
      </c>
      <c r="F3" s="73">
        <f>IF(TournamentData[[#This Row],[Team '#]]="","",IF(ISNA(INDEX('Robot Game Scores'!E:E,MATCH(TournamentData[[#This Row],[Team '#]], 'Robot Game Scores'!$A:$A,0))),0,INDEX('Robot Game Scores'!E:E,MATCH(TournamentData[[#This Row],[Team '#]], 'Robot Game Scores'!$A:$A,0))))</f>
        <v/>
      </c>
      <c r="G3" s="73">
        <f>IF(TournamentData[[#This Row],[Team '#]]="","",IF(ISNA(INDEX('Robot Game Scores'!#REF!,MATCH(TournamentData[[#This Row],[Team '#]], 'Robot Game Scores'!$A:$A,0))),0,INDEX('Robot Game Scores'!#REF!,MATCH(TournamentData[[#This Row],[Team '#]], 'Robot Game Scores'!$A:$A,0))))</f>
        <v/>
      </c>
      <c r="H3" s="73">
        <f>IF(TournamentData[[#This Row],[Team '#]]="","",IF(ISNA(INDEX('Robot Game Scores'!#REF!,MATCH(TournamentData[[#This Row],[Team '#]], 'Robot Game Scores'!$A:$A,0))),0,INDEX('Robot Game Scores'!#REF!,MATCH(TournamentData[[#This Row],[Team '#]],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'#]],CoreValuesResults[Team '#],0))</f>
        <v/>
      </c>
      <c r="L3" s="73">
        <f>INDEX(InnovationProjectResults[Innovation Project Rank],MATCH(TournamentData[[#This Row],[Team '#]],InnovationProjectResults[Team '#],0))</f>
        <v/>
      </c>
      <c r="M3" s="73">
        <f>INDEX(RobotDesignResults[Robot Design Rank],MATCH(TournamentData[[#This Row],[Team '#]],RobotDesignResults[Team '#],0))</f>
        <v/>
      </c>
      <c r="N3" s="73">
        <f>SUM(TournamentData[[#This Row],[Robot Game Rank]:[Robot Design Rank]])</f>
        <v/>
      </c>
      <c r="O3" s="106">
        <f>RANK(TournamentData[[#This Row],[Champion''s Score]],TournamentData[Champion''s Score],1)</f>
        <v/>
      </c>
      <c r="P3" s="74" t="n"/>
      <c r="Q3" s="78" t="n"/>
      <c r="R3" s="75">
        <f>IF(ISNA(INDEX(CoreValuesResults[Core Values Score],MATCH(TournamentData[[#This Row],[Team '#]],CoreValuesResults[Team '#],0))),0,INDEX(CoreValuesResults[Core Values Score],MATCH(TournamentData[[#This Row],[Team '#]],CoreValuesResults[Team '#],0)))</f>
        <v/>
      </c>
      <c r="S3" s="75">
        <f>IF(ISNA(INDEX(InnovationProjectResults[Innovation Project Score],MATCH(TournamentData[[#This Row],[Team '#]],InnovationProjectResults[Team '#],0))),0,INDEX(InnovationProjectResults[Innovation Project Score],MATCH(TournamentData[[#This Row],[Team '#]],InnovationProjectResults[Team '#],0)))</f>
        <v/>
      </c>
      <c r="T3" s="75">
        <f>IF(ISNA(INDEX(RobotDesignResults[Robot Design Score],MATCH(TournamentData[[#This Row],[Team '#]],RobotDesignResults[Team '#],0))),0,INDEX(RobotDesignResults[Robot Design Score],MATCH(TournamentData[[#This Row],[Team '#]],RobotDesignResults[Team '#],0)))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24277</v>
      </c>
      <c r="B4" s="104">
        <f>INDEX(OfficialTeamList[Pod Number],MATCH(TournamentData[[#This Row],[Team '#]], OfficialTeamList[Team '#],0))</f>
        <v/>
      </c>
      <c r="C4" s="95">
        <f>INDEX(OfficialTeamList[Team Name],MATCH(TournamentData[[#This Row],[Team '#]], OfficialTeamList[Team '#],0))</f>
        <v/>
      </c>
      <c r="D4" s="73">
        <f>IF(TournamentData[[#This Row],[Team '#]]="","",IF(ISNA(INDEX('Robot Game Scores'!C:C,MATCH(TournamentData[[#This Row],[Team '#]], 'Robot Game Scores'!$A:$A,0))),0,INDEX('Robot Game Scores'!C:C,MATCH(TournamentData[[#This Row],[Team '#]], 'Robot Game Scores'!$A:$A,0))))</f>
        <v/>
      </c>
      <c r="E4" s="73">
        <f>IF(TournamentData[[#This Row],[Team '#]]="","",IF(ISNA(INDEX('Robot Game Scores'!D:D,MATCH(TournamentData[[#This Row],[Team '#]], 'Robot Game Scores'!$A:$A,0))),0,INDEX('Robot Game Scores'!D:D,MATCH(TournamentData[[#This Row],[Team '#]], 'Robot Game Scores'!$A:$A,0))))</f>
        <v/>
      </c>
      <c r="F4" s="73">
        <f>IF(TournamentData[[#This Row],[Team '#]]="","",IF(ISNA(INDEX('Robot Game Scores'!E:E,MATCH(TournamentData[[#This Row],[Team '#]], 'Robot Game Scores'!$A:$A,0))),0,INDEX('Robot Game Scores'!E:E,MATCH(TournamentData[[#This Row],[Team '#]], 'Robot Game Scores'!$A:$A,0))))</f>
        <v/>
      </c>
      <c r="G4" s="73">
        <f>IF(TournamentData[[#This Row],[Team '#]]="","",IF(ISNA(INDEX('Robot Game Scores'!#REF!,MATCH(TournamentData[[#This Row],[Team '#]], 'Robot Game Scores'!$A:$A,0))),0,INDEX('Robot Game Scores'!#REF!,MATCH(TournamentData[[#This Row],[Team '#]], 'Robot Game Scores'!$A:$A,0))))</f>
        <v/>
      </c>
      <c r="H4" s="73">
        <f>IF(TournamentData[[#This Row],[Team '#]]="","",IF(ISNA(INDEX('Robot Game Scores'!#REF!,MATCH(TournamentData[[#This Row],[Team '#]], 'Robot Game Scores'!$A:$A,0))),0,INDEX('Robot Game Scores'!#REF!,MATCH(TournamentData[[#This Row],[Team '#]],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'#]],CoreValuesResults[Team '#],0))</f>
        <v/>
      </c>
      <c r="L4" s="73">
        <f>INDEX(InnovationProjectResults[Innovation Project Rank],MATCH(TournamentData[[#This Row],[Team '#]],InnovationProjectResults[Team '#],0))</f>
        <v/>
      </c>
      <c r="M4" s="73">
        <f>INDEX(RobotDesignResults[Robot Design Rank],MATCH(TournamentData[[#This Row],[Team '#]],RobotDesignResults[Team '#],0))</f>
        <v/>
      </c>
      <c r="N4" s="73">
        <f>SUM(TournamentData[[#This Row],[Robot Game Rank]:[Robot Design Rank]])</f>
        <v/>
      </c>
      <c r="O4" s="106">
        <f>RANK(TournamentData[[#This Row],[Champion''s Score]],TournamentData[Champion''s Score],1)</f>
        <v/>
      </c>
      <c r="P4" s="74" t="n"/>
      <c r="Q4" s="78" t="n"/>
      <c r="R4" s="75">
        <f>IF(ISNA(INDEX(CoreValuesResults[Core Values Score],MATCH(TournamentData[[#This Row],[Team '#]],CoreValuesResults[Team '#],0))),0,INDEX(CoreValuesResults[Core Values Score],MATCH(TournamentData[[#This Row],[Team '#]],CoreValuesResults[Team '#],0)))</f>
        <v/>
      </c>
      <c r="S4" s="75">
        <f>IF(ISNA(INDEX(InnovationProjectResults[Innovation Project Score],MATCH(TournamentData[[#This Row],[Team '#]],InnovationProjectResults[Team '#],0))),0,INDEX(InnovationProjectResults[Innovation Project Score],MATCH(TournamentData[[#This Row],[Team '#]],InnovationProjectResults[Team '#],0)))</f>
        <v/>
      </c>
      <c r="T4" s="75">
        <f>IF(ISNA(INDEX(RobotDesignResults[Robot Design Score],MATCH(TournamentData[[#This Row],[Team '#]],RobotDesignResults[Team '#],0))),0,INDEX(RobotDesignResults[Robot Design Score],MATCH(TournamentData[[#This Row],[Team '#]],RobotDesignResults[Team '#],0)))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26034</v>
      </c>
      <c r="B5" s="104">
        <f>INDEX(OfficialTeamList[Pod Number],MATCH(TournamentData[[#This Row],[Team '#]], OfficialTeamList[Team '#],0))</f>
        <v/>
      </c>
      <c r="C5" s="95">
        <f>INDEX(OfficialTeamList[Team Name],MATCH(TournamentData[[#This Row],[Team '#]], OfficialTeamList[Team '#],0))</f>
        <v/>
      </c>
      <c r="D5" s="73">
        <f>IF(TournamentData[[#This Row],[Team '#]]="","",IF(ISNA(INDEX('Robot Game Scores'!C:C,MATCH(TournamentData[[#This Row],[Team '#]], 'Robot Game Scores'!$A:$A,0))),0,INDEX('Robot Game Scores'!C:C,MATCH(TournamentData[[#This Row],[Team '#]], 'Robot Game Scores'!$A:$A,0))))</f>
        <v/>
      </c>
      <c r="E5" s="73">
        <f>IF(TournamentData[[#This Row],[Team '#]]="","",IF(ISNA(INDEX('Robot Game Scores'!D:D,MATCH(TournamentData[[#This Row],[Team '#]], 'Robot Game Scores'!$A:$A,0))),0,INDEX('Robot Game Scores'!D:D,MATCH(TournamentData[[#This Row],[Team '#]], 'Robot Game Scores'!$A:$A,0))))</f>
        <v/>
      </c>
      <c r="F5" s="73">
        <f>IF(TournamentData[[#This Row],[Team '#]]="","",IF(ISNA(INDEX('Robot Game Scores'!E:E,MATCH(TournamentData[[#This Row],[Team '#]], 'Robot Game Scores'!$A:$A,0))),0,INDEX('Robot Game Scores'!E:E,MATCH(TournamentData[[#This Row],[Team '#]], 'Robot Game Scores'!$A:$A,0))))</f>
        <v/>
      </c>
      <c r="G5" s="73">
        <f>IF(TournamentData[[#This Row],[Team '#]]="","",IF(ISNA(INDEX('Robot Game Scores'!#REF!,MATCH(TournamentData[[#This Row],[Team '#]], 'Robot Game Scores'!$A:$A,0))),0,INDEX('Robot Game Scores'!#REF!,MATCH(TournamentData[[#This Row],[Team '#]], 'Robot Game Scores'!$A:$A,0))))</f>
        <v/>
      </c>
      <c r="H5" s="73">
        <f>IF(TournamentData[[#This Row],[Team '#]]="","",IF(ISNA(INDEX('Robot Game Scores'!#REF!,MATCH(TournamentData[[#This Row],[Team '#]], 'Robot Game Scores'!$A:$A,0))),0,INDEX('Robot Game Scores'!#REF!,MATCH(TournamentData[[#This Row],[Team '#]],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'#]],CoreValuesResults[Team '#],0))</f>
        <v/>
      </c>
      <c r="L5" s="73">
        <f>INDEX(InnovationProjectResults[Innovation Project Rank],MATCH(TournamentData[[#This Row],[Team '#]],InnovationProjectResults[Team '#],0))</f>
        <v/>
      </c>
      <c r="M5" s="73">
        <f>INDEX(RobotDesignResults[Robot Design Rank],MATCH(TournamentData[[#This Row],[Team '#]],RobotDesignResults[Team '#],0))</f>
        <v/>
      </c>
      <c r="N5" s="73">
        <f>SUM(TournamentData[[#This Row],[Robot Game Rank]:[Robot Design Rank]])</f>
        <v/>
      </c>
      <c r="O5" s="106">
        <f>RANK(TournamentData[[#This Row],[Champion''s Score]],TournamentData[Champion''s Score],1)</f>
        <v/>
      </c>
      <c r="P5" s="74" t="n"/>
      <c r="Q5" s="78" t="n"/>
      <c r="R5" s="75">
        <f>IF(ISNA(INDEX(CoreValuesResults[Core Values Score],MATCH(TournamentData[[#This Row],[Team '#]],CoreValuesResults[Team '#],0))),0,INDEX(CoreValuesResults[Core Values Score],MATCH(TournamentData[[#This Row],[Team '#]],CoreValuesResults[Team '#],0)))</f>
        <v/>
      </c>
      <c r="S5" s="75">
        <f>IF(ISNA(INDEX(InnovationProjectResults[Innovation Project Score],MATCH(TournamentData[[#This Row],[Team '#]],InnovationProjectResults[Team '#],0))),0,INDEX(InnovationProjectResults[Innovation Project Score],MATCH(TournamentData[[#This Row],[Team '#]],InnovationProjectResults[Team '#],0)))</f>
        <v/>
      </c>
      <c r="T5" s="75">
        <f>IF(ISNA(INDEX(RobotDesignResults[Robot Design Score],MATCH(TournamentData[[#This Row],[Team '#]],RobotDesignResults[Team '#],0))),0,INDEX(RobotDesignResults[Robot Design Score],MATCH(TournamentData[[#This Row],[Team '#]],RobotDesignResults[Team '#],0)))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60801</v>
      </c>
      <c r="B6" s="104">
        <f>INDEX(OfficialTeamList[Pod Number],MATCH(TournamentData[[#This Row],[Team '#]], OfficialTeamList[Team '#],0))</f>
        <v/>
      </c>
      <c r="C6" s="95">
        <f>INDEX(OfficialTeamList[Team Name],MATCH(TournamentData[[#This Row],[Team '#]], OfficialTeamList[Team '#],0))</f>
        <v/>
      </c>
      <c r="D6" s="73">
        <f>IF(TournamentData[[#This Row],[Team '#]]="","",IF(ISNA(INDEX('Robot Game Scores'!C:C,MATCH(TournamentData[[#This Row],[Team '#]], 'Robot Game Scores'!$A:$A,0))),0,INDEX('Robot Game Scores'!C:C,MATCH(TournamentData[[#This Row],[Team '#]], 'Robot Game Scores'!$A:$A,0))))</f>
        <v/>
      </c>
      <c r="E6" s="73">
        <f>IF(TournamentData[[#This Row],[Team '#]]="","",IF(ISNA(INDEX('Robot Game Scores'!D:D,MATCH(TournamentData[[#This Row],[Team '#]], 'Robot Game Scores'!$A:$A,0))),0,INDEX('Robot Game Scores'!D:D,MATCH(TournamentData[[#This Row],[Team '#]], 'Robot Game Scores'!$A:$A,0))))</f>
        <v/>
      </c>
      <c r="F6" s="73">
        <f>IF(TournamentData[[#This Row],[Team '#]]="","",IF(ISNA(INDEX('Robot Game Scores'!E:E,MATCH(TournamentData[[#This Row],[Team '#]], 'Robot Game Scores'!$A:$A,0))),0,INDEX('Robot Game Scores'!E:E,MATCH(TournamentData[[#This Row],[Team '#]], 'Robot Game Scores'!$A:$A,0))))</f>
        <v/>
      </c>
      <c r="G6" s="73">
        <f>IF(TournamentData[[#This Row],[Team '#]]="","",IF(ISNA(INDEX('Robot Game Scores'!#REF!,MATCH(TournamentData[[#This Row],[Team '#]], 'Robot Game Scores'!$A:$A,0))),0,INDEX('Robot Game Scores'!#REF!,MATCH(TournamentData[[#This Row],[Team '#]], 'Robot Game Scores'!$A:$A,0))))</f>
        <v/>
      </c>
      <c r="H6" s="73">
        <f>IF(TournamentData[[#This Row],[Team '#]]="","",IF(ISNA(INDEX('Robot Game Scores'!#REF!,MATCH(TournamentData[[#This Row],[Team '#]], 'Robot Game Scores'!$A:$A,0))),0,INDEX('Robot Game Scores'!#REF!,MATCH(TournamentData[[#This Row],[Team '#]],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'#]],CoreValuesResults[Team '#],0))</f>
        <v/>
      </c>
      <c r="L6" s="73">
        <f>INDEX(InnovationProjectResults[Innovation Project Rank],MATCH(TournamentData[[#This Row],[Team '#]],InnovationProjectResults[Team '#],0))</f>
        <v/>
      </c>
      <c r="M6" s="73">
        <f>INDEX(RobotDesignResults[Robot Design Rank],MATCH(TournamentData[[#This Row],[Team '#]],RobotDesignResults[Team '#],0))</f>
        <v/>
      </c>
      <c r="N6" s="73">
        <f>SUM(TournamentData[[#This Row],[Robot Game Rank]:[Robot Design Rank]])</f>
        <v/>
      </c>
      <c r="O6" s="106">
        <f>RANK(TournamentData[[#This Row],[Champion''s Score]],TournamentData[Champion''s Score],1)</f>
        <v/>
      </c>
      <c r="P6" s="74" t="n"/>
      <c r="Q6" s="78" t="n"/>
      <c r="R6" s="75">
        <f>IF(ISNA(INDEX(CoreValuesResults[Core Values Score],MATCH(TournamentData[[#This Row],[Team '#]],CoreValuesResults[Team '#],0))),0,INDEX(CoreValuesResults[Core Values Score],MATCH(TournamentData[[#This Row],[Team '#]],CoreValuesResults[Team '#],0)))</f>
        <v/>
      </c>
      <c r="S6" s="75">
        <f>IF(ISNA(INDEX(InnovationProjectResults[Innovation Project Score],MATCH(TournamentData[[#This Row],[Team '#]],InnovationProjectResults[Team '#],0))),0,INDEX(InnovationProjectResults[Innovation Project Score],MATCH(TournamentData[[#This Row],[Team '#]],InnovationProjectResults[Team '#],0)))</f>
        <v/>
      </c>
      <c r="T6" s="75">
        <f>IF(ISNA(INDEX(RobotDesignResults[Robot Design Score],MATCH(TournamentData[[#This Row],[Team '#]],RobotDesignResults[Team '#],0))),0,INDEX(RobotDesignResults[Robot Design Score],MATCH(TournamentData[[#This Row],[Team '#]],RobotDesignResults[Team '#],0)))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62149</v>
      </c>
      <c r="B7" s="104">
        <f>INDEX(OfficialTeamList[Pod Number],MATCH(TournamentData[[#This Row],[Team '#]], OfficialTeamList[Team '#],0))</f>
        <v/>
      </c>
      <c r="C7" s="95">
        <f>INDEX(OfficialTeamList[Team Name],MATCH(TournamentData[[#This Row],[Team '#]], OfficialTeamList[Team '#],0))</f>
        <v/>
      </c>
      <c r="D7" s="73">
        <f>IF(TournamentData[[#This Row],[Team '#]]="","",IF(ISNA(INDEX('Robot Game Scores'!C:C,MATCH(TournamentData[[#This Row],[Team '#]], 'Robot Game Scores'!$A:$A,0))),0,INDEX('Robot Game Scores'!C:C,MATCH(TournamentData[[#This Row],[Team '#]], 'Robot Game Scores'!$A:$A,0))))</f>
        <v/>
      </c>
      <c r="E7" s="73">
        <f>IF(TournamentData[[#This Row],[Team '#]]="","",IF(ISNA(INDEX('Robot Game Scores'!D:D,MATCH(TournamentData[[#This Row],[Team '#]], 'Robot Game Scores'!$A:$A,0))),0,INDEX('Robot Game Scores'!D:D,MATCH(TournamentData[[#This Row],[Team '#]], 'Robot Game Scores'!$A:$A,0))))</f>
        <v/>
      </c>
      <c r="F7" s="73">
        <f>IF(TournamentData[[#This Row],[Team '#]]="","",IF(ISNA(INDEX('Robot Game Scores'!E:E,MATCH(TournamentData[[#This Row],[Team '#]], 'Robot Game Scores'!$A:$A,0))),0,INDEX('Robot Game Scores'!E:E,MATCH(TournamentData[[#This Row],[Team '#]], 'Robot Game Scores'!$A:$A,0))))</f>
        <v/>
      </c>
      <c r="G7" s="73">
        <f>IF(TournamentData[[#This Row],[Team '#]]="","",IF(ISNA(INDEX('Robot Game Scores'!#REF!,MATCH(TournamentData[[#This Row],[Team '#]], 'Robot Game Scores'!$A:$A,0))),0,INDEX('Robot Game Scores'!#REF!,MATCH(TournamentData[[#This Row],[Team '#]], 'Robot Game Scores'!$A:$A,0))))</f>
        <v/>
      </c>
      <c r="H7" s="73">
        <f>IF(TournamentData[[#This Row],[Team '#]]="","",IF(ISNA(INDEX('Robot Game Scores'!#REF!,MATCH(TournamentData[[#This Row],[Team '#]], 'Robot Game Scores'!$A:$A,0))),0,INDEX('Robot Game Scores'!#REF!,MATCH(TournamentData[[#This Row],[Team '#]],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'#]],CoreValuesResults[Team '#],0))</f>
        <v/>
      </c>
      <c r="L7" s="73">
        <f>INDEX(InnovationProjectResults[Innovation Project Rank],MATCH(TournamentData[[#This Row],[Team '#]],InnovationProjectResults[Team '#],0))</f>
        <v/>
      </c>
      <c r="M7" s="73">
        <f>INDEX(RobotDesignResults[Robot Design Rank],MATCH(TournamentData[[#This Row],[Team '#]],RobotDesignResults[Team '#],0))</f>
        <v/>
      </c>
      <c r="N7" s="73">
        <f>SUM(TournamentData[[#This Row],[Robot Game Rank]:[Robot Design Rank]])</f>
        <v/>
      </c>
      <c r="O7" s="106">
        <f>RANK(TournamentData[[#This Row],[Champion''s Score]],TournamentData[Champion''s Score],1)</f>
        <v/>
      </c>
      <c r="P7" s="74" t="n"/>
      <c r="Q7" s="78" t="n"/>
      <c r="R7" s="75">
        <f>IF(ISNA(INDEX(CoreValuesResults[Core Values Score],MATCH(TournamentData[[#This Row],[Team '#]],CoreValuesResults[Team '#],0))),0,INDEX(CoreValuesResults[Core Values Score],MATCH(TournamentData[[#This Row],[Team '#]],CoreValuesResults[Team '#],0)))</f>
        <v/>
      </c>
      <c r="S7" s="75">
        <f>IF(ISNA(INDEX(InnovationProjectResults[Innovation Project Score],MATCH(TournamentData[[#This Row],[Team '#]],InnovationProjectResults[Team '#],0))),0,INDEX(InnovationProjectResults[Innovation Project Score],MATCH(TournamentData[[#This Row],[Team '#]],InnovationProjectResults[Team '#],0)))</f>
        <v/>
      </c>
      <c r="T7" s="75">
        <f>IF(ISNA(INDEX(RobotDesignResults[Robot Design Score],MATCH(TournamentData[[#This Row],[Team '#]],RobotDesignResults[Team '#],0))),0,INDEX(RobotDesignResults[Robot Design Score],MATCH(TournamentData[[#This Row],[Team '#]],RobotDesignResults[Team '#],0)))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62706</v>
      </c>
      <c r="B8" s="104">
        <f>INDEX(OfficialTeamList[Pod Number],MATCH(TournamentData[[#This Row],[Team '#]], OfficialTeamList[Team '#],0))</f>
        <v/>
      </c>
      <c r="C8" s="95">
        <f>INDEX(OfficialTeamList[Team Name],MATCH(TournamentData[[#This Row],[Team '#]], OfficialTeamList[Team '#],0))</f>
        <v/>
      </c>
      <c r="D8" s="73">
        <f>IF(TournamentData[[#This Row],[Team '#]]="","",IF(ISNA(INDEX('Robot Game Scores'!C:C,MATCH(TournamentData[[#This Row],[Team '#]], 'Robot Game Scores'!$A:$A,0))),0,INDEX('Robot Game Scores'!C:C,MATCH(TournamentData[[#This Row],[Team '#]], 'Robot Game Scores'!$A:$A,0))))</f>
        <v/>
      </c>
      <c r="E8" s="73">
        <f>IF(TournamentData[[#This Row],[Team '#]]="","",IF(ISNA(INDEX('Robot Game Scores'!D:D,MATCH(TournamentData[[#This Row],[Team '#]], 'Robot Game Scores'!$A:$A,0))),0,INDEX('Robot Game Scores'!D:D,MATCH(TournamentData[[#This Row],[Team '#]], 'Robot Game Scores'!$A:$A,0))))</f>
        <v/>
      </c>
      <c r="F8" s="73">
        <f>IF(TournamentData[[#This Row],[Team '#]]="","",IF(ISNA(INDEX('Robot Game Scores'!E:E,MATCH(TournamentData[[#This Row],[Team '#]], 'Robot Game Scores'!$A:$A,0))),0,INDEX('Robot Game Scores'!E:E,MATCH(TournamentData[[#This Row],[Team '#]], 'Robot Game Scores'!$A:$A,0))))</f>
        <v/>
      </c>
      <c r="G8" s="73">
        <f>IF(TournamentData[[#This Row],[Team '#]]="","",IF(ISNA(INDEX('Robot Game Scores'!#REF!,MATCH(TournamentData[[#This Row],[Team '#]], 'Robot Game Scores'!$A:$A,0))),0,INDEX('Robot Game Scores'!#REF!,MATCH(TournamentData[[#This Row],[Team '#]], 'Robot Game Scores'!$A:$A,0))))</f>
        <v/>
      </c>
      <c r="H8" s="73">
        <f>IF(TournamentData[[#This Row],[Team '#]]="","",IF(ISNA(INDEX('Robot Game Scores'!#REF!,MATCH(TournamentData[[#This Row],[Team '#]], 'Robot Game Scores'!$A:$A,0))),0,INDEX('Robot Game Scores'!#REF!,MATCH(TournamentData[[#This Row],[Team '#]],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'#]],CoreValuesResults[Team '#],0))</f>
        <v/>
      </c>
      <c r="L8" s="73">
        <f>INDEX(InnovationProjectResults[Innovation Project Rank],MATCH(TournamentData[[#This Row],[Team '#]],InnovationProjectResults[Team '#],0))</f>
        <v/>
      </c>
      <c r="M8" s="73">
        <f>INDEX(RobotDesignResults[Robot Design Rank],MATCH(TournamentData[[#This Row],[Team '#]],RobotDesignResults[Team '#],0))</f>
        <v/>
      </c>
      <c r="N8" s="73">
        <f>SUM(TournamentData[[#This Row],[Robot Game Rank]:[Robot Design Rank]])</f>
        <v/>
      </c>
      <c r="O8" s="106">
        <f>RANK(TournamentData[[#This Row],[Champion''s Score]],TournamentData[Champion''s Score],1)</f>
        <v/>
      </c>
      <c r="P8" s="74" t="n"/>
      <c r="Q8" s="78" t="n"/>
      <c r="R8" s="75">
        <f>IF(ISNA(INDEX(CoreValuesResults[Core Values Score],MATCH(TournamentData[[#This Row],[Team '#]],CoreValuesResults[Team '#],0))),0,INDEX(CoreValuesResults[Core Values Score],MATCH(TournamentData[[#This Row],[Team '#]],CoreValuesResults[Team '#],0)))</f>
        <v/>
      </c>
      <c r="S8" s="75">
        <f>IF(ISNA(INDEX(InnovationProjectResults[Innovation Project Score],MATCH(TournamentData[[#This Row],[Team '#]],InnovationProjectResults[Team '#],0))),0,INDEX(InnovationProjectResults[Innovation Project Score],MATCH(TournamentData[[#This Row],[Team '#]],InnovationProjectResults[Team '#],0)))</f>
        <v/>
      </c>
      <c r="T8" s="75">
        <f>IF(ISNA(INDEX(RobotDesignResults[Robot Design Score],MATCH(TournamentData[[#This Row],[Team '#]],RobotDesignResults[Team '#],0))),0,INDEX(RobotDesignResults[Robot Design Score],MATCH(TournamentData[[#This Row],[Team '#]],RobotDesignResults[Team '#],0)))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67083</v>
      </c>
      <c r="B9" s="104">
        <f>INDEX(OfficialTeamList[Pod Number],MATCH(TournamentData[[#This Row],[Team '#]], OfficialTeamList[Team '#],0))</f>
        <v/>
      </c>
      <c r="C9" s="95">
        <f>INDEX(OfficialTeamList[Team Name],MATCH(TournamentData[[#This Row],[Team '#]], OfficialTeamList[Team '#],0))</f>
        <v/>
      </c>
      <c r="D9" s="73">
        <f>IF(TournamentData[[#This Row],[Team '#]]="","",IF(ISNA(INDEX('Robot Game Scores'!C:C,MATCH(TournamentData[[#This Row],[Team '#]], 'Robot Game Scores'!$A:$A,0))),0,INDEX('Robot Game Scores'!C:C,MATCH(TournamentData[[#This Row],[Team '#]], 'Robot Game Scores'!$A:$A,0))))</f>
        <v/>
      </c>
      <c r="E9" s="73">
        <f>IF(TournamentData[[#This Row],[Team '#]]="","",IF(ISNA(INDEX('Robot Game Scores'!D:D,MATCH(TournamentData[[#This Row],[Team '#]], 'Robot Game Scores'!$A:$A,0))),0,INDEX('Robot Game Scores'!D:D,MATCH(TournamentData[[#This Row],[Team '#]], 'Robot Game Scores'!$A:$A,0))))</f>
        <v/>
      </c>
      <c r="F9" s="73">
        <f>IF(TournamentData[[#This Row],[Team '#]]="","",IF(ISNA(INDEX('Robot Game Scores'!E:E,MATCH(TournamentData[[#This Row],[Team '#]], 'Robot Game Scores'!$A:$A,0))),0,INDEX('Robot Game Scores'!E:E,MATCH(TournamentData[[#This Row],[Team '#]], 'Robot Game Scores'!$A:$A,0))))</f>
        <v/>
      </c>
      <c r="G9" s="73">
        <f>IF(TournamentData[[#This Row],[Team '#]]="","",IF(ISNA(INDEX('Robot Game Scores'!#REF!,MATCH(TournamentData[[#This Row],[Team '#]], 'Robot Game Scores'!$A:$A,0))),0,INDEX('Robot Game Scores'!#REF!,MATCH(TournamentData[[#This Row],[Team '#]], 'Robot Game Scores'!$A:$A,0))))</f>
        <v/>
      </c>
      <c r="H9" s="73">
        <f>IF(TournamentData[[#This Row],[Team '#]]="","",IF(ISNA(INDEX('Robot Game Scores'!#REF!,MATCH(TournamentData[[#This Row],[Team '#]], 'Robot Game Scores'!$A:$A,0))),0,INDEX('Robot Game Scores'!#REF!,MATCH(TournamentData[[#This Row],[Team '#]],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'#]],CoreValuesResults[Team '#],0))</f>
        <v/>
      </c>
      <c r="L9" s="73">
        <f>INDEX(InnovationProjectResults[Innovation Project Rank],MATCH(TournamentData[[#This Row],[Team '#]],InnovationProjectResults[Team '#],0))</f>
        <v/>
      </c>
      <c r="M9" s="73">
        <f>INDEX(RobotDesignResults[Robot Design Rank],MATCH(TournamentData[[#This Row],[Team '#]],RobotDesignResults[Team '#],0))</f>
        <v/>
      </c>
      <c r="N9" s="73">
        <f>SUM(TournamentData[[#This Row],[Robot Game Rank]:[Robot Design Rank]])</f>
        <v/>
      </c>
      <c r="O9" s="106">
        <f>RANK(TournamentData[[#This Row],[Champion''s Score]],TournamentData[Champion''s Score],1)</f>
        <v/>
      </c>
      <c r="P9" s="74" t="n"/>
      <c r="Q9" s="78" t="n"/>
      <c r="R9" s="75">
        <f>IF(ISNA(INDEX(CoreValuesResults[Core Values Score],MATCH(TournamentData[[#This Row],[Team '#]],CoreValuesResults[Team '#],0))),0,INDEX(CoreValuesResults[Core Values Score],MATCH(TournamentData[[#This Row],[Team '#]],CoreValuesResults[Team '#],0)))</f>
        <v/>
      </c>
      <c r="S9" s="75">
        <f>IF(ISNA(INDEX(InnovationProjectResults[Innovation Project Score],MATCH(TournamentData[[#This Row],[Team '#]],InnovationProjectResults[Team '#],0))),0,INDEX(InnovationProjectResults[Innovation Project Score],MATCH(TournamentData[[#This Row],[Team '#]],InnovationProjectResults[Team '#],0)))</f>
        <v/>
      </c>
      <c r="T9" s="75">
        <f>IF(ISNA(INDEX(RobotDesignResults[Robot Design Score],MATCH(TournamentData[[#This Row],[Team '#]],RobotDesignResults[Team '#],0))),0,INDEX(RobotDesignResults[Robot Design Score],MATCH(TournamentData[[#This Row],[Team '#]],RobotDesignResults[Team '#],0)))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67801</v>
      </c>
      <c r="B10" s="104">
        <f>INDEX(OfficialTeamList[Pod Number],MATCH(TournamentData[[#This Row],[Team '#]], OfficialTeamList[Team '#],0))</f>
        <v/>
      </c>
      <c r="C10" s="95">
        <f>INDEX(OfficialTeamList[Team Name],MATCH(TournamentData[[#This Row],[Team '#]], OfficialTeamList[Team '#],0))</f>
        <v/>
      </c>
      <c r="D10" s="73">
        <f>IF(TournamentData[[#This Row],[Team '#]]="","",IF(ISNA(INDEX('Robot Game Scores'!C:C,MATCH(TournamentData[[#This Row],[Team '#]], 'Robot Game Scores'!$A:$A,0))),0,INDEX('Robot Game Scores'!C:C,MATCH(TournamentData[[#This Row],[Team '#]], 'Robot Game Scores'!$A:$A,0))))</f>
        <v/>
      </c>
      <c r="E10" s="73">
        <f>IF(TournamentData[[#This Row],[Team '#]]="","",IF(ISNA(INDEX('Robot Game Scores'!D:D,MATCH(TournamentData[[#This Row],[Team '#]], 'Robot Game Scores'!$A:$A,0))),0,INDEX('Robot Game Scores'!D:D,MATCH(TournamentData[[#This Row],[Team '#]], 'Robot Game Scores'!$A:$A,0))))</f>
        <v/>
      </c>
      <c r="F10" s="73">
        <f>IF(TournamentData[[#This Row],[Team '#]]="","",IF(ISNA(INDEX('Robot Game Scores'!E:E,MATCH(TournamentData[[#This Row],[Team '#]], 'Robot Game Scores'!$A:$A,0))),0,INDEX('Robot Game Scores'!E:E,MATCH(TournamentData[[#This Row],[Team '#]], 'Robot Game Scores'!$A:$A,0))))</f>
        <v/>
      </c>
      <c r="G10" s="73">
        <f>IF(TournamentData[[#This Row],[Team '#]]="","",IF(ISNA(INDEX('Robot Game Scores'!#REF!,MATCH(TournamentData[[#This Row],[Team '#]], 'Robot Game Scores'!$A:$A,0))),0,INDEX('Robot Game Scores'!#REF!,MATCH(TournamentData[[#This Row],[Team '#]], 'Robot Game Scores'!$A:$A,0))))</f>
        <v/>
      </c>
      <c r="H10" s="73">
        <f>IF(TournamentData[[#This Row],[Team '#]]="","",IF(ISNA(INDEX('Robot Game Scores'!#REF!,MATCH(TournamentData[[#This Row],[Team '#]], 'Robot Game Scores'!$A:$A,0))),0,INDEX('Robot Game Scores'!#REF!,MATCH(TournamentData[[#This Row],[Team '#]],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'#]],CoreValuesResults[Team '#],0))</f>
        <v/>
      </c>
      <c r="L10" s="73">
        <f>INDEX(InnovationProjectResults[Innovation Project Rank],MATCH(TournamentData[[#This Row],[Team '#]],InnovationProjectResults[Team '#],0))</f>
        <v/>
      </c>
      <c r="M10" s="73">
        <f>INDEX(RobotDesignResults[Robot Design Rank],MATCH(TournamentData[[#This Row],[Team '#]],RobotDesignResults[Team '#],0))</f>
        <v/>
      </c>
      <c r="N10" s="73">
        <f>SUM(TournamentData[[#This Row],[Robot Game Rank]:[Robot Design Rank]])</f>
        <v/>
      </c>
      <c r="O10" s="106">
        <f>RANK(TournamentData[[#This Row],[Champion''s Score]],TournamentData[Champion''s Score],1)</f>
        <v/>
      </c>
      <c r="P10" s="74" t="n"/>
      <c r="Q10" s="78" t="n"/>
      <c r="R10" s="75">
        <f>IF(ISNA(INDEX(CoreValuesResults[Core Values Score],MATCH(TournamentData[[#This Row],[Team '#]],CoreValuesResults[Team '#],0))),0,INDEX(CoreValuesResults[Core Values Score],MATCH(TournamentData[[#This Row],[Team '#]],CoreValuesResults[Team '#],0)))</f>
        <v/>
      </c>
      <c r="S10" s="75">
        <f>IF(ISNA(INDEX(InnovationProjectResults[Innovation Project Score],MATCH(TournamentData[[#This Row],[Team '#]],InnovationProjectResults[Team '#],0))),0,INDEX(InnovationProjectResults[Innovation Project Score],MATCH(TournamentData[[#This Row],[Team '#]],InnovationProjectResults[Team '#],0)))</f>
        <v/>
      </c>
      <c r="T10" s="75">
        <f>IF(ISNA(INDEX(RobotDesignResults[Robot Design Score],MATCH(TournamentData[[#This Row],[Team '#]],RobotDesignResults[Team '#],0))),0,INDEX(RobotDesignResults[Robot Design Score],MATCH(TournamentData[[#This Row],[Team '#]],RobotDesignResults[Team '#],0)))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68850</v>
      </c>
      <c r="B11" s="104">
        <f>INDEX(OfficialTeamList[Pod Number],MATCH(TournamentData[[#This Row],[Team '#]], OfficialTeamList[Team '#],0))</f>
        <v/>
      </c>
      <c r="C11" s="95">
        <f>INDEX(OfficialTeamList[Team Name],MATCH(TournamentData[[#This Row],[Team '#]], OfficialTeamList[Team '#],0))</f>
        <v/>
      </c>
      <c r="D11" s="73">
        <f>IF(TournamentData[[#This Row],[Team '#]]="","",IF(ISNA(INDEX('Robot Game Scores'!C:C,MATCH(TournamentData[[#This Row],[Team '#]], 'Robot Game Scores'!$A:$A,0))),0,INDEX('Robot Game Scores'!C:C,MATCH(TournamentData[[#This Row],[Team '#]], 'Robot Game Scores'!$A:$A,0))))</f>
        <v/>
      </c>
      <c r="E11" s="73">
        <f>IF(TournamentData[[#This Row],[Team '#]]="","",IF(ISNA(INDEX('Robot Game Scores'!D:D,MATCH(TournamentData[[#This Row],[Team '#]], 'Robot Game Scores'!$A:$A,0))),0,INDEX('Robot Game Scores'!D:D,MATCH(TournamentData[[#This Row],[Team '#]], 'Robot Game Scores'!$A:$A,0))))</f>
        <v/>
      </c>
      <c r="F11" s="73">
        <f>IF(TournamentData[[#This Row],[Team '#]]="","",IF(ISNA(INDEX('Robot Game Scores'!E:E,MATCH(TournamentData[[#This Row],[Team '#]], 'Robot Game Scores'!$A:$A,0))),0,INDEX('Robot Game Scores'!E:E,MATCH(TournamentData[[#This Row],[Team '#]], 'Robot Game Scores'!$A:$A,0))))</f>
        <v/>
      </c>
      <c r="G11" s="73">
        <f>IF(TournamentData[[#This Row],[Team '#]]="","",IF(ISNA(INDEX('Robot Game Scores'!#REF!,MATCH(TournamentData[[#This Row],[Team '#]], 'Robot Game Scores'!$A:$A,0))),0,INDEX('Robot Game Scores'!#REF!,MATCH(TournamentData[[#This Row],[Team '#]], 'Robot Game Scores'!$A:$A,0))))</f>
        <v/>
      </c>
      <c r="H11" s="73">
        <f>IF(TournamentData[[#This Row],[Team '#]]="","",IF(ISNA(INDEX('Robot Game Scores'!#REF!,MATCH(TournamentData[[#This Row],[Team '#]], 'Robot Game Scores'!$A:$A,0))),0,INDEX('Robot Game Scores'!#REF!,MATCH(TournamentData[[#This Row],[Team '#]],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'#]],CoreValuesResults[Team '#],0))</f>
        <v/>
      </c>
      <c r="L11" s="73">
        <f>INDEX(InnovationProjectResults[Innovation Project Rank],MATCH(TournamentData[[#This Row],[Team '#]],InnovationProjectResults[Team '#],0))</f>
        <v/>
      </c>
      <c r="M11" s="73">
        <f>INDEX(RobotDesignResults[Robot Design Rank],MATCH(TournamentData[[#This Row],[Team '#]],RobotDesignResults[Team '#],0))</f>
        <v/>
      </c>
      <c r="N11" s="73">
        <f>SUM(TournamentData[[#This Row],[Robot Game Rank]:[Robot Design Rank]])</f>
        <v/>
      </c>
      <c r="O11" s="106">
        <f>RANK(TournamentData[[#This Row],[Champion''s Score]],TournamentData[Champion''s Score],1)</f>
        <v/>
      </c>
      <c r="P11" s="74" t="n"/>
      <c r="Q11" s="78" t="n"/>
      <c r="R11" s="75">
        <f>IF(ISNA(INDEX(CoreValuesResults[Core Values Score],MATCH(TournamentData[[#This Row],[Team '#]],CoreValuesResults[Team '#],0))),0,INDEX(CoreValuesResults[Core Values Score],MATCH(TournamentData[[#This Row],[Team '#]],CoreValuesResults[Team '#],0)))</f>
        <v/>
      </c>
      <c r="S11" s="75">
        <f>IF(ISNA(INDEX(InnovationProjectResults[Innovation Project Score],MATCH(TournamentData[[#This Row],[Team '#]],InnovationProjectResults[Team '#],0))),0,INDEX(InnovationProjectResults[Innovation Project Score],MATCH(TournamentData[[#This Row],[Team '#]],InnovationProjectResults[Team '#],0)))</f>
        <v/>
      </c>
      <c r="T11" s="75">
        <f>IF(ISNA(INDEX(RobotDesignResults[Robot Design Score],MATCH(TournamentData[[#This Row],[Team '#]],RobotDesignResults[Team '#],0))),0,INDEX(RobotDesignResults[Robot Design Score],MATCH(TournamentData[[#This Row],[Team '#]],RobotDesignResults[Team '#],0)))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71673</v>
      </c>
      <c r="B12" s="104">
        <f>INDEX(OfficialTeamList[Pod Number],MATCH(TournamentData[[#This Row],[Team '#]], OfficialTeamList[Team '#],0))</f>
        <v/>
      </c>
      <c r="C12" s="95">
        <f>INDEX(OfficialTeamList[Team Name],MATCH(TournamentData[[#This Row],[Team '#]], OfficialTeamList[Team '#],0))</f>
        <v/>
      </c>
      <c r="D12" s="73">
        <f>IF(TournamentData[[#This Row],[Team '#]]="","",IF(ISNA(INDEX('Robot Game Scores'!C:C,MATCH(TournamentData[[#This Row],[Team '#]], 'Robot Game Scores'!$A:$A,0))),0,INDEX('Robot Game Scores'!C:C,MATCH(TournamentData[[#This Row],[Team '#]], 'Robot Game Scores'!$A:$A,0))))</f>
        <v/>
      </c>
      <c r="E12" s="73">
        <f>IF(TournamentData[[#This Row],[Team '#]]="","",IF(ISNA(INDEX('Robot Game Scores'!D:D,MATCH(TournamentData[[#This Row],[Team '#]], 'Robot Game Scores'!$A:$A,0))),0,INDEX('Robot Game Scores'!D:D,MATCH(TournamentData[[#This Row],[Team '#]], 'Robot Game Scores'!$A:$A,0))))</f>
        <v/>
      </c>
      <c r="F12" s="73">
        <f>IF(TournamentData[[#This Row],[Team '#]]="","",IF(ISNA(INDEX('Robot Game Scores'!E:E,MATCH(TournamentData[[#This Row],[Team '#]], 'Robot Game Scores'!$A:$A,0))),0,INDEX('Robot Game Scores'!E:E,MATCH(TournamentData[[#This Row],[Team '#]], 'Robot Game Scores'!$A:$A,0))))</f>
        <v/>
      </c>
      <c r="G12" s="73">
        <f>IF(TournamentData[[#This Row],[Team '#]]="","",IF(ISNA(INDEX('Robot Game Scores'!#REF!,MATCH(TournamentData[[#This Row],[Team '#]], 'Robot Game Scores'!$A:$A,0))),0,INDEX('Robot Game Scores'!#REF!,MATCH(TournamentData[[#This Row],[Team '#]], 'Robot Game Scores'!$A:$A,0))))</f>
        <v/>
      </c>
      <c r="H12" s="73">
        <f>IF(TournamentData[[#This Row],[Team '#]]="","",IF(ISNA(INDEX('Robot Game Scores'!#REF!,MATCH(TournamentData[[#This Row],[Team '#]], 'Robot Game Scores'!$A:$A,0))),0,INDEX('Robot Game Scores'!#REF!,MATCH(TournamentData[[#This Row],[Team '#]],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'#]],CoreValuesResults[Team '#],0))</f>
        <v/>
      </c>
      <c r="L12" s="73">
        <f>INDEX(InnovationProjectResults[Innovation Project Rank],MATCH(TournamentData[[#This Row],[Team '#]],InnovationProjectResults[Team '#],0))</f>
        <v/>
      </c>
      <c r="M12" s="73">
        <f>INDEX(RobotDesignResults[Robot Design Rank],MATCH(TournamentData[[#This Row],[Team '#]],RobotDesignResults[Team '#],0))</f>
        <v/>
      </c>
      <c r="N12" s="73">
        <f>SUM(TournamentData[[#This Row],[Robot Game Rank]:[Robot Design Rank]])</f>
        <v/>
      </c>
      <c r="O12" s="106">
        <f>RANK(TournamentData[[#This Row],[Champion''s Score]],TournamentData[Champion''s Score],1)</f>
        <v/>
      </c>
      <c r="P12" s="74" t="n"/>
      <c r="Q12" s="78" t="n"/>
      <c r="R12" s="75">
        <f>IF(ISNA(INDEX(CoreValuesResults[Core Values Score],MATCH(TournamentData[[#This Row],[Team '#]],CoreValuesResults[Team '#],0))),0,INDEX(CoreValuesResults[Core Values Score],MATCH(TournamentData[[#This Row],[Team '#]],CoreValuesResults[Team '#],0)))</f>
        <v/>
      </c>
      <c r="S12" s="75">
        <f>IF(ISNA(INDEX(InnovationProjectResults[Innovation Project Score],MATCH(TournamentData[[#This Row],[Team '#]],InnovationProjectResults[Team '#],0))),0,INDEX(InnovationProjectResults[Innovation Project Score],MATCH(TournamentData[[#This Row],[Team '#]],InnovationProjectResults[Team '#],0)))</f>
        <v/>
      </c>
      <c r="T12" s="75">
        <f>IF(ISNA(INDEX(RobotDesignResults[Robot Design Score],MATCH(TournamentData[[#This Row],[Team '#]],RobotDesignResults[Team '#],0))),0,INDEX(RobotDesignResults[Robot Design Score],MATCH(TournamentData[[#This Row],[Team '#]],RobotDesignResults[Team '#],0)))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73002</v>
      </c>
      <c r="B13" s="104">
        <f>INDEX(OfficialTeamList[Pod Number],MATCH(TournamentData[[#This Row],[Team '#]], OfficialTeamList[Team '#],0))</f>
        <v/>
      </c>
      <c r="C13" s="95">
        <f>INDEX(OfficialTeamList[Team Name],MATCH(TournamentData[[#This Row],[Team '#]], OfficialTeamList[Team '#],0))</f>
        <v/>
      </c>
      <c r="D13" s="73">
        <f>IF(TournamentData[[#This Row],[Team '#]]="","",IF(ISNA(INDEX('Robot Game Scores'!C:C,MATCH(TournamentData[[#This Row],[Team '#]], 'Robot Game Scores'!$A:$A,0))),0,INDEX('Robot Game Scores'!C:C,MATCH(TournamentData[[#This Row],[Team '#]], 'Robot Game Scores'!$A:$A,0))))</f>
        <v/>
      </c>
      <c r="E13" s="73">
        <f>IF(TournamentData[[#This Row],[Team '#]]="","",IF(ISNA(INDEX('Robot Game Scores'!D:D,MATCH(TournamentData[[#This Row],[Team '#]], 'Robot Game Scores'!$A:$A,0))),0,INDEX('Robot Game Scores'!D:D,MATCH(TournamentData[[#This Row],[Team '#]], 'Robot Game Scores'!$A:$A,0))))</f>
        <v/>
      </c>
      <c r="F13" s="73">
        <f>IF(TournamentData[[#This Row],[Team '#]]="","",IF(ISNA(INDEX('Robot Game Scores'!E:E,MATCH(TournamentData[[#This Row],[Team '#]], 'Robot Game Scores'!$A:$A,0))),0,INDEX('Robot Game Scores'!E:E,MATCH(TournamentData[[#This Row],[Team '#]], 'Robot Game Scores'!$A:$A,0))))</f>
        <v/>
      </c>
      <c r="G13" s="73">
        <f>IF(TournamentData[[#This Row],[Team '#]]="","",IF(ISNA(INDEX('Robot Game Scores'!#REF!,MATCH(TournamentData[[#This Row],[Team '#]], 'Robot Game Scores'!$A:$A,0))),0,INDEX('Robot Game Scores'!#REF!,MATCH(TournamentData[[#This Row],[Team '#]], 'Robot Game Scores'!$A:$A,0))))</f>
        <v/>
      </c>
      <c r="H13" s="73">
        <f>IF(TournamentData[[#This Row],[Team '#]]="","",IF(ISNA(INDEX('Robot Game Scores'!#REF!,MATCH(TournamentData[[#This Row],[Team '#]], 'Robot Game Scores'!$A:$A,0))),0,INDEX('Robot Game Scores'!#REF!,MATCH(TournamentData[[#This Row],[Team '#]],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'#]],CoreValuesResults[Team '#],0))</f>
        <v/>
      </c>
      <c r="L13" s="73">
        <f>INDEX(InnovationProjectResults[Innovation Project Rank],MATCH(TournamentData[[#This Row],[Team '#]],InnovationProjectResults[Team '#],0))</f>
        <v/>
      </c>
      <c r="M13" s="73">
        <f>INDEX(RobotDesignResults[Robot Design Rank],MATCH(TournamentData[[#This Row],[Team '#]],RobotDesignResults[Team '#],0))</f>
        <v/>
      </c>
      <c r="N13" s="73">
        <f>SUM(TournamentData[[#This Row],[Robot Game Rank]:[Robot Design Rank]])</f>
        <v/>
      </c>
      <c r="O13" s="106">
        <f>RANK(TournamentData[[#This Row],[Champion''s Score]],TournamentData[Champion''s Score],1)</f>
        <v/>
      </c>
      <c r="P13" s="74" t="n"/>
      <c r="Q13" s="78" t="n"/>
      <c r="R13" s="75">
        <f>IF(ISNA(INDEX(CoreValuesResults[Core Values Score],MATCH(TournamentData[[#This Row],[Team '#]],CoreValuesResults[Team '#],0))),0,INDEX(CoreValuesResults[Core Values Score],MATCH(TournamentData[[#This Row],[Team '#]],CoreValuesResults[Team '#],0)))</f>
        <v/>
      </c>
      <c r="S13" s="75">
        <f>IF(ISNA(INDEX(InnovationProjectResults[Innovation Project Score],MATCH(TournamentData[[#This Row],[Team '#]],InnovationProjectResults[Team '#],0))),0,INDEX(InnovationProjectResults[Innovation Project Score],MATCH(TournamentData[[#This Row],[Team '#]],InnovationProjectResults[Team '#],0)))</f>
        <v/>
      </c>
      <c r="T13" s="75">
        <f>IF(ISNA(INDEX(RobotDesignResults[Robot Design Score],MATCH(TournamentData[[#This Row],[Team '#]],RobotDesignResults[Team '#],0))),0,INDEX(RobotDesignResults[Robot Design Score],MATCH(TournamentData[[#This Row],[Team '#]],RobotDesignResults[Team '#],0)))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73106</v>
      </c>
      <c r="B14" s="104">
        <f>INDEX(OfficialTeamList[Pod Number],MATCH(TournamentData[[#This Row],[Team '#]], OfficialTeamList[Team '#],0))</f>
        <v/>
      </c>
      <c r="C14" s="95">
        <f>INDEX(OfficialTeamList[Team Name],MATCH(TournamentData[[#This Row],[Team '#]], OfficialTeamList[Team '#],0))</f>
        <v/>
      </c>
      <c r="D14" s="73">
        <f>IF(TournamentData[[#This Row],[Team '#]]="","",IF(ISNA(INDEX('Robot Game Scores'!C:C,MATCH(TournamentData[[#This Row],[Team '#]], 'Robot Game Scores'!$A:$A,0))),0,INDEX('Robot Game Scores'!C:C,MATCH(TournamentData[[#This Row],[Team '#]], 'Robot Game Scores'!$A:$A,0))))</f>
        <v/>
      </c>
      <c r="E14" s="73">
        <f>IF(TournamentData[[#This Row],[Team '#]]="","",IF(ISNA(INDEX('Robot Game Scores'!D:D,MATCH(TournamentData[[#This Row],[Team '#]], 'Robot Game Scores'!$A:$A,0))),0,INDEX('Robot Game Scores'!D:D,MATCH(TournamentData[[#This Row],[Team '#]], 'Robot Game Scores'!$A:$A,0))))</f>
        <v/>
      </c>
      <c r="F14" s="73">
        <f>IF(TournamentData[[#This Row],[Team '#]]="","",IF(ISNA(INDEX('Robot Game Scores'!E:E,MATCH(TournamentData[[#This Row],[Team '#]], 'Robot Game Scores'!$A:$A,0))),0,INDEX('Robot Game Scores'!E:E,MATCH(TournamentData[[#This Row],[Team '#]], 'Robot Game Scores'!$A:$A,0))))</f>
        <v/>
      </c>
      <c r="G14" s="73">
        <f>IF(TournamentData[[#This Row],[Team '#]]="","",IF(ISNA(INDEX('Robot Game Scores'!#REF!,MATCH(TournamentData[[#This Row],[Team '#]], 'Robot Game Scores'!$A:$A,0))),0,INDEX('Robot Game Scores'!#REF!,MATCH(TournamentData[[#This Row],[Team '#]], 'Robot Game Scores'!$A:$A,0))))</f>
        <v/>
      </c>
      <c r="H14" s="73">
        <f>IF(TournamentData[[#This Row],[Team '#]]="","",IF(ISNA(INDEX('Robot Game Scores'!#REF!,MATCH(TournamentData[[#This Row],[Team '#]], 'Robot Game Scores'!$A:$A,0))),0,INDEX('Robot Game Scores'!#REF!,MATCH(TournamentData[[#This Row],[Team '#]],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'#]],CoreValuesResults[Team '#],0))</f>
        <v/>
      </c>
      <c r="L14" s="73">
        <f>INDEX(InnovationProjectResults[Innovation Project Rank],MATCH(TournamentData[[#This Row],[Team '#]],InnovationProjectResults[Team '#],0))</f>
        <v/>
      </c>
      <c r="M14" s="73">
        <f>INDEX(RobotDesignResults[Robot Design Rank],MATCH(TournamentData[[#This Row],[Team '#]],RobotDesignResults[Team '#],0))</f>
        <v/>
      </c>
      <c r="N14" s="73">
        <f>SUM(TournamentData[[#This Row],[Robot Game Rank]:[Robot Design Rank]])</f>
        <v/>
      </c>
      <c r="O14" s="106">
        <f>RANK(TournamentData[[#This Row],[Champion''s Score]],TournamentData[Champion''s Score],1)</f>
        <v/>
      </c>
      <c r="P14" s="74" t="n"/>
      <c r="Q14" s="78" t="n"/>
      <c r="R14" s="75">
        <f>IF(ISNA(INDEX(CoreValuesResults[Core Values Score],MATCH(TournamentData[[#This Row],[Team '#]],CoreValuesResults[Team '#],0))),0,INDEX(CoreValuesResults[Core Values Score],MATCH(TournamentData[[#This Row],[Team '#]],CoreValuesResults[Team '#],0)))</f>
        <v/>
      </c>
      <c r="S14" s="75">
        <f>IF(ISNA(INDEX(InnovationProjectResults[Innovation Project Score],MATCH(TournamentData[[#This Row],[Team '#]],InnovationProjectResults[Team '#],0))),0,INDEX(InnovationProjectResults[Innovation Project Score],MATCH(TournamentData[[#This Row],[Team '#]],InnovationProjectResults[Team '#],0)))</f>
        <v/>
      </c>
      <c r="T14" s="75">
        <f>IF(ISNA(INDEX(RobotDesignResults[Robot Design Score],MATCH(TournamentData[[#This Row],[Team '#]],RobotDesignResults[Team '#],0))),0,INDEX(RobotDesignResults[Robot Design Score],MATCH(TournamentData[[#This Row],[Team '#]],RobotDesignResults[Team '#],0)))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2">
      <formula>ROW()-NumberOfTeams=2</formula>
    </cfRule>
  </conditionalFormatting>
  <conditionalFormatting sqref="P2">
    <cfRule type="expression" priority="2" dxfId="153" stopIfTrue="0">
      <formula>COUNTA(AwardListDropdowns!$A$3:$A$14)=COUNTA($P$3:$P$14)</formula>
    </cfRule>
  </conditionalFormatting>
  <conditionalFormatting sqref="P3:P14">
    <cfRule type="expression" priority="3" dxfId="154" stopIfTrue="0">
      <formula>COUNTIF($P$3:$P$14,P3)&gt;1</formula>
    </cfRule>
  </conditionalFormatting>
  <conditionalFormatting sqref="O3:O14">
    <cfRule type="expression" priority="4" dxfId="155" stopIfTrue="0">
      <formula>O3&lt;=$Q$1</formula>
    </cfRule>
  </conditionalFormatting>
  <conditionalFormatting sqref="Q1:Q2">
    <cfRule type="expression" priority="5" dxfId="156" stopIfTrue="0">
      <formula>COUNTIF($Q$3:$Q$14,"Yes")=$Q$1</formula>
    </cfRule>
  </conditionalFormatting>
  <conditionalFormatting sqref="W1">
    <cfRule type="expression" priority="6" dxfId="156" stopIfTrue="0">
      <formula>AND(COUNTIF($Q$3:$Q$14,"Yes")=$Q$1,COUNTIF($Q$3:$Q$14,"Alt")=1)</formula>
    </cfRule>
  </conditionalFormatting>
  <conditionalFormatting sqref="A3:I14">
    <cfRule type="expression" priority="7" dxfId="157" stopIfTrue="0">
      <formula>$P3&lt;&gt;""</formula>
    </cfRule>
  </conditionalFormatting>
  <conditionalFormatting sqref="K3:O14">
    <cfRule type="expression" priority="7" dxfId="157" stopIfTrue="0">
      <formula>$P3&lt;&gt;""</formula>
    </cfRule>
  </conditionalFormatting>
  <conditionalFormatting sqref="R3:W14">
    <cfRule type="expression" priority="7" dxfId="157" stopIfTrue="0">
      <formula>$P3&lt;&gt;""</formula>
    </cfRule>
  </conditionalFormatting>
  <conditionalFormatting sqref="J3:J14">
    <cfRule type="expression" priority="10" dxfId="158" stopIfTrue="0">
      <formula>J3=1</formula>
    </cfRule>
    <cfRule type="expression" priority="11" dxfId="159" stopIfTrue="0">
      <formula>J3=2</formula>
    </cfRule>
    <cfRule type="expression" priority="12" dxfId="160" stopIfTrue="0">
      <formula>J3=3</formula>
    </cfRule>
  </conditionalFormatting>
  <conditionalFormatting sqref="Q3:Q14">
    <cfRule type="expression" priority="13" dxfId="155" stopIfTrue="0">
      <formula>Q3="Yes"</formula>
    </cfRule>
    <cfRule type="expression" priority="14" dxfId="161" stopIfTrue="0">
      <formula>Q3="Alt"</formula>
    </cfRule>
  </conditionalFormatting>
  <dataValidations count="4">
    <dataValidation sqref="Q3" showDropDown="0" showInputMessage="1" showErrorMessage="1" allowBlank="1" type="list">
      <formula1>"Yes,No,Alt"</formula1>
    </dataValidation>
    <dataValidation sqref="P3" showDropDown="0" showInputMessage="1" showErrorMessage="1" allowBlank="1" type="list">
      <formula1>Awards</formula1>
    </dataValidation>
    <dataValidation sqref="Q3:Q14" showDropDown="0" showInputMessage="0" showErrorMessage="0" allowBlank="1" type="list">
      <formula1>"Yes,No,Alt"</formula1>
    </dataValidation>
    <dataValidation sqref="P3:P14" showDropDown="0" showInputMessage="0" showErrorMessage="0" allowBlank="1" type="list">
      <formula1>Awards</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3"/>
  <sheetViews>
    <sheetView zoomScaleNormal="100" workbookViewId="0">
      <pane ySplit="1" topLeftCell="A2" activePane="bottomLeft" state="frozen"/>
      <selection pane="bottomLeft" activeCell="A1" sqref="A1"/>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7">
        <f>INDEX(OfficialTeamList[Team Name],MATCH(RobotGameScores[[#This Row],[Team '#]], OfficialTeamList[Team '#],0))</f>
        <v/>
      </c>
      <c r="C2" s="105" t="n"/>
      <c r="D2" s="105" t="n"/>
      <c r="E2" s="105" t="n"/>
      <c r="F2" s="77">
        <f>MAX(RobotGameScores[[#This Row],[Robot Game 1 Score]:[Robot Game 3 Score]])</f>
        <v/>
      </c>
    </row>
    <row r="3" ht="21" customHeight="1">
      <c r="A3" s="104" t="n">
        <v>24277</v>
      </c>
      <c r="B3" s="107">
        <f>INDEX(OfficialTeamList[Team Name],MATCH(RobotGameScores[[#This Row],[Team '#]], OfficialTeamList[Team '#],0))</f>
        <v/>
      </c>
      <c r="C3" s="105" t="n"/>
      <c r="D3" s="105" t="n"/>
      <c r="E3" s="105" t="n"/>
      <c r="F3" s="77">
        <f>MAX(RobotGameScores[[#This Row],[Robot Game 1 Score]:[Robot Game 3 Score]])</f>
        <v/>
      </c>
    </row>
    <row r="4" ht="21" customHeight="1">
      <c r="A4" s="104" t="n">
        <v>26034</v>
      </c>
      <c r="B4" s="107">
        <f>INDEX(OfficialTeamList[Team Name],MATCH(RobotGameScores[[#This Row],[Team '#]], OfficialTeamList[Team '#],0))</f>
        <v/>
      </c>
      <c r="C4" s="105" t="n"/>
      <c r="D4" s="105" t="n"/>
      <c r="E4" s="105" t="n"/>
      <c r="F4" s="77">
        <f>MAX(RobotGameScores[[#This Row],[Robot Game 1 Score]:[Robot Game 3 Score]])</f>
        <v/>
      </c>
    </row>
    <row r="5" ht="21" customHeight="1">
      <c r="A5" s="104" t="n">
        <v>60801</v>
      </c>
      <c r="B5" s="107">
        <f>INDEX(OfficialTeamList[Team Name],MATCH(RobotGameScores[[#This Row],[Team '#]], OfficialTeamList[Team '#],0))</f>
        <v/>
      </c>
      <c r="C5" s="105" t="n"/>
      <c r="D5" s="105" t="n"/>
      <c r="E5" s="105" t="n"/>
      <c r="F5" s="77">
        <f>MAX(RobotGameScores[[#This Row],[Robot Game 1 Score]:[Robot Game 3 Score]])</f>
        <v/>
      </c>
    </row>
    <row r="6" ht="21" customHeight="1">
      <c r="A6" s="104" t="n">
        <v>62149</v>
      </c>
      <c r="B6" s="107">
        <f>INDEX(OfficialTeamList[Team Name],MATCH(RobotGameScores[[#This Row],[Team '#]], OfficialTeamList[Team '#],0))</f>
        <v/>
      </c>
      <c r="C6" s="105" t="n"/>
      <c r="D6" s="105" t="n"/>
      <c r="E6" s="105" t="n"/>
      <c r="F6" s="77">
        <f>MAX(RobotGameScores[[#This Row],[Robot Game 1 Score]:[Robot Game 3 Score]])</f>
        <v/>
      </c>
    </row>
    <row r="7" ht="21" customHeight="1">
      <c r="A7" s="104" t="n">
        <v>62706</v>
      </c>
      <c r="B7" s="107">
        <f>INDEX(OfficialTeamList[Team Name],MATCH(RobotGameScores[[#This Row],[Team '#]], OfficialTeamList[Team '#],0))</f>
        <v/>
      </c>
      <c r="C7" s="105" t="n"/>
      <c r="D7" s="105" t="n"/>
      <c r="E7" s="105" t="n"/>
      <c r="F7" s="77">
        <f>MAX(RobotGameScores[[#This Row],[Robot Game 1 Score]:[Robot Game 3 Score]])</f>
        <v/>
      </c>
    </row>
    <row r="8" ht="21" customHeight="1">
      <c r="A8" s="104" t="n">
        <v>67083</v>
      </c>
      <c r="B8" s="107">
        <f>INDEX(OfficialTeamList[Team Name],MATCH(RobotGameScores[[#This Row],[Team '#]], OfficialTeamList[Team '#],0))</f>
        <v/>
      </c>
      <c r="C8" s="105" t="n"/>
      <c r="D8" s="105" t="n"/>
      <c r="E8" s="105" t="n"/>
      <c r="F8" s="77">
        <f>MAX(RobotGameScores[[#This Row],[Robot Game 1 Score]:[Robot Game 3 Score]])</f>
        <v/>
      </c>
    </row>
    <row r="9" ht="21" customHeight="1">
      <c r="A9" s="104" t="n">
        <v>67801</v>
      </c>
      <c r="B9" s="107">
        <f>INDEX(OfficialTeamList[Team Name],MATCH(RobotGameScores[[#This Row],[Team '#]], OfficialTeamList[Team '#],0))</f>
        <v/>
      </c>
      <c r="C9" s="105" t="n"/>
      <c r="D9" s="105" t="n"/>
      <c r="E9" s="105" t="n"/>
      <c r="F9" s="77">
        <f>MAX(RobotGameScores[[#This Row],[Robot Game 1 Score]:[Robot Game 3 Score]])</f>
        <v/>
      </c>
    </row>
    <row r="10" ht="21" customHeight="1">
      <c r="A10" s="104" t="n">
        <v>68850</v>
      </c>
      <c r="B10" s="107">
        <f>INDEX(OfficialTeamList[Team Name],MATCH(RobotGameScores[[#This Row],[Team '#]], OfficialTeamList[Team '#],0))</f>
        <v/>
      </c>
      <c r="C10" s="105" t="n"/>
      <c r="D10" s="105" t="n"/>
      <c r="E10" s="105" t="n"/>
      <c r="F10" s="77">
        <f>MAX(RobotGameScores[[#This Row],[Robot Game 1 Score]:[Robot Game 3 Score]])</f>
        <v/>
      </c>
    </row>
    <row r="11" ht="21" customHeight="1">
      <c r="A11" s="104" t="n">
        <v>71673</v>
      </c>
      <c r="B11" s="107">
        <f>INDEX(OfficialTeamList[Team Name],MATCH(RobotGameScores[[#This Row],[Team '#]], OfficialTeamList[Team '#],0))</f>
        <v/>
      </c>
      <c r="C11" s="105" t="n"/>
      <c r="D11" s="105" t="n"/>
      <c r="E11" s="105" t="n"/>
      <c r="F11" s="77">
        <f>MAX(RobotGameScores[[#This Row],[Robot Game 1 Score]:[Robot Game 3 Score]])</f>
        <v/>
      </c>
    </row>
    <row r="12" ht="21" customHeight="1">
      <c r="A12" s="104" t="n">
        <v>73002</v>
      </c>
      <c r="B12" s="107">
        <f>INDEX(OfficialTeamList[Team Name],MATCH(RobotGameScores[[#This Row],[Team '#]], OfficialTeamList[Team '#],0))</f>
        <v/>
      </c>
      <c r="C12" s="105" t="n"/>
      <c r="D12" s="105" t="n"/>
      <c r="E12" s="105" t="n"/>
      <c r="F12" s="77">
        <f>MAX(RobotGameScores[[#This Row],[Robot Game 1 Score]:[Robot Game 3 Score]])</f>
        <v/>
      </c>
    </row>
    <row r="13" ht="21" customHeight="1">
      <c r="A13" s="104" t="n">
        <v>73106</v>
      </c>
      <c r="B13" s="107">
        <f>INDEX(OfficialTeamList[Team Name],MATCH(RobotGameScores[[#This Row],[Team '#]], OfficialTeamList[Team '#],0))</f>
        <v/>
      </c>
      <c r="C13" s="105" t="n"/>
      <c r="D13" s="105" t="n"/>
      <c r="E13" s="105" t="n"/>
      <c r="F13"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3"/>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 OfficialTeamList[Team '#],0))</f>
        <v/>
      </c>
      <c r="C2" s="107">
        <f>INDEX(OfficialTeamList[Team Name],MATCH(InnovationProjectResults[[#This Row],[Team '#]], OfficialTeamList[Team '#],0))</f>
        <v/>
      </c>
      <c r="D2" s="105" t="n"/>
      <c r="E2" s="105" t="n"/>
      <c r="F2" s="105" t="n"/>
      <c r="G2" s="105" t="n"/>
      <c r="H2" s="105" t="n"/>
      <c r="I2" s="105" t="n"/>
      <c r="J2" s="105" t="n"/>
      <c r="K2" s="105" t="n"/>
      <c r="L2" s="105" t="n"/>
      <c r="M2" s="105" t="n"/>
      <c r="N2" s="77">
        <f>SUM(InnovationProjectResults[[#This Row],[Identify - Define]:[Communicate - Fun (CV)]])</f>
        <v/>
      </c>
      <c r="O2" s="70">
        <f>_xlfn.RANK.EQ(InnovationProjectResults[[#This Row],[Innovation Project Score]],InnovationProjectResults[Innovation Project Score],0)</f>
        <v/>
      </c>
    </row>
    <row r="3" ht="21" customHeight="1">
      <c r="A3" s="104" t="n">
        <v>24277</v>
      </c>
      <c r="B3" s="104">
        <f>INDEX(OfficialTeamList[Pod Number],MATCH(InnovationProjectResults[[#This Row],[Team '#]], OfficialTeamList[Team '#],0))</f>
        <v/>
      </c>
      <c r="C3" s="107">
        <f>INDEX(OfficialTeamList[Team Name],MATCH(InnovationProjectResults[[#This Row],[Team '#]], OfficialTeamList[Team '#],0))</f>
        <v/>
      </c>
      <c r="D3" s="105" t="n"/>
      <c r="E3" s="105" t="n"/>
      <c r="F3" s="105" t="n"/>
      <c r="G3" s="105" t="n"/>
      <c r="H3" s="105" t="n"/>
      <c r="I3" s="105" t="n"/>
      <c r="J3" s="105" t="n"/>
      <c r="K3" s="105" t="n"/>
      <c r="L3" s="105" t="n"/>
      <c r="M3" s="105" t="n"/>
      <c r="N3" s="77">
        <f>SUM(InnovationProjectResults[[#This Row],[Identify - Define]:[Communicate - Fun (CV)]])</f>
        <v/>
      </c>
      <c r="O3" s="70">
        <f>_xlfn.RANK.EQ(InnovationProjectResults[[#This Row],[Innovation Project Score]],InnovationProjectResults[Innovation Project Score],0)</f>
        <v/>
      </c>
    </row>
    <row r="4" ht="21" customHeight="1">
      <c r="A4" s="104" t="n">
        <v>26034</v>
      </c>
      <c r="B4" s="104">
        <f>INDEX(OfficialTeamList[Pod Number],MATCH(InnovationProjectResults[[#This Row],[Team '#]], OfficialTeamList[Team '#],0))</f>
        <v/>
      </c>
      <c r="C4" s="107">
        <f>INDEX(OfficialTeamList[Team Name],MATCH(InnovationProjectResults[[#This Row],[Team '#]], OfficialTeamList[Team '#],0))</f>
        <v/>
      </c>
      <c r="D4" s="105" t="n"/>
      <c r="E4" s="105" t="n"/>
      <c r="F4" s="105" t="n"/>
      <c r="G4" s="105" t="n"/>
      <c r="H4" s="105" t="n"/>
      <c r="I4" s="105" t="n"/>
      <c r="J4" s="105" t="n"/>
      <c r="K4" s="105" t="n"/>
      <c r="L4" s="105" t="n"/>
      <c r="M4" s="105" t="n"/>
      <c r="N4" s="77">
        <f>SUM(InnovationProjectResults[[#This Row],[Identify - Define]:[Communicate - Fun (CV)]])</f>
        <v/>
      </c>
      <c r="O4" s="70">
        <f>_xlfn.RANK.EQ(InnovationProjectResults[[#This Row],[Innovation Project Score]],InnovationProjectResults[Innovation Project Score],0)</f>
        <v/>
      </c>
    </row>
    <row r="5" ht="21" customHeight="1">
      <c r="A5" s="104" t="n">
        <v>60801</v>
      </c>
      <c r="B5" s="104">
        <f>INDEX(OfficialTeamList[Pod Number],MATCH(InnovationProjectResults[[#This Row],[Team '#]], OfficialTeamList[Team '#],0))</f>
        <v/>
      </c>
      <c r="C5" s="107">
        <f>INDEX(OfficialTeamList[Team Name],MATCH(InnovationProjectResults[[#This Row],[Team '#]], OfficialTeamList[Team '#],0))</f>
        <v/>
      </c>
      <c r="D5" s="105" t="n"/>
      <c r="E5" s="105" t="n"/>
      <c r="F5" s="105" t="n"/>
      <c r="G5" s="105" t="n"/>
      <c r="H5" s="105" t="n"/>
      <c r="I5" s="105" t="n"/>
      <c r="J5" s="105" t="n"/>
      <c r="K5" s="105" t="n"/>
      <c r="L5" s="105" t="n"/>
      <c r="M5" s="105" t="n"/>
      <c r="N5" s="77">
        <f>SUM(InnovationProjectResults[[#This Row],[Identify - Define]:[Communicate - Fun (CV)]])</f>
        <v/>
      </c>
      <c r="O5" s="70">
        <f>_xlfn.RANK.EQ(InnovationProjectResults[[#This Row],[Innovation Project Score]],InnovationProjectResults[Innovation Project Score],0)</f>
        <v/>
      </c>
    </row>
    <row r="6" ht="21" customHeight="1">
      <c r="A6" s="104" t="n">
        <v>62149</v>
      </c>
      <c r="B6" s="104">
        <f>INDEX(OfficialTeamList[Pod Number],MATCH(InnovationProjectResults[[#This Row],[Team '#]], OfficialTeamList[Team '#],0))</f>
        <v/>
      </c>
      <c r="C6" s="107">
        <f>INDEX(OfficialTeamList[Team Name],MATCH(InnovationProjectResults[[#This Row],[Team '#]], OfficialTeamList[Team '#],0))</f>
        <v/>
      </c>
      <c r="D6" s="105" t="n"/>
      <c r="E6" s="105" t="n"/>
      <c r="F6" s="105" t="n"/>
      <c r="G6" s="105" t="n"/>
      <c r="H6" s="105" t="n"/>
      <c r="I6" s="105" t="n"/>
      <c r="J6" s="105" t="n"/>
      <c r="K6" s="105" t="n"/>
      <c r="L6" s="105" t="n"/>
      <c r="M6" s="105" t="n"/>
      <c r="N6" s="77">
        <f>SUM(InnovationProjectResults[[#This Row],[Identify - Define]:[Communicate - Fun (CV)]])</f>
        <v/>
      </c>
      <c r="O6" s="70">
        <f>_xlfn.RANK.EQ(InnovationProjectResults[[#This Row],[Innovation Project Score]],InnovationProjectResults[Innovation Project Score],0)</f>
        <v/>
      </c>
    </row>
    <row r="7" ht="21" customHeight="1">
      <c r="A7" s="104" t="n">
        <v>62706</v>
      </c>
      <c r="B7" s="104">
        <f>INDEX(OfficialTeamList[Pod Number],MATCH(InnovationProjectResults[[#This Row],[Team '#]], OfficialTeamList[Team '#],0))</f>
        <v/>
      </c>
      <c r="C7" s="107">
        <f>INDEX(OfficialTeamList[Team Name],MATCH(InnovationProjectResults[[#This Row],[Team '#]], OfficialTeamList[Team '#],0))</f>
        <v/>
      </c>
      <c r="D7" s="105" t="n"/>
      <c r="E7" s="105" t="n"/>
      <c r="F7" s="105" t="n"/>
      <c r="G7" s="105" t="n"/>
      <c r="H7" s="105" t="n"/>
      <c r="I7" s="105" t="n"/>
      <c r="J7" s="105" t="n"/>
      <c r="K7" s="105" t="n"/>
      <c r="L7" s="105" t="n"/>
      <c r="M7" s="105" t="n"/>
      <c r="N7" s="77">
        <f>SUM(InnovationProjectResults[[#This Row],[Identify - Define]:[Communicate - Fun (CV)]])</f>
        <v/>
      </c>
      <c r="O7" s="70">
        <f>_xlfn.RANK.EQ(InnovationProjectResults[[#This Row],[Innovation Project Score]],InnovationProjectResults[Innovation Project Score],0)</f>
        <v/>
      </c>
    </row>
    <row r="8" ht="21" customHeight="1">
      <c r="A8" s="104" t="n">
        <v>67083</v>
      </c>
      <c r="B8" s="104">
        <f>INDEX(OfficialTeamList[Pod Number],MATCH(InnovationProjectResults[[#This Row],[Team '#]], OfficialTeamList[Team '#],0))</f>
        <v/>
      </c>
      <c r="C8" s="107">
        <f>INDEX(OfficialTeamList[Team Name],MATCH(InnovationProjectResults[[#This Row],[Team '#]], OfficialTeamList[Team '#],0))</f>
        <v/>
      </c>
      <c r="D8" s="105" t="n"/>
      <c r="E8" s="105" t="n"/>
      <c r="F8" s="105" t="n"/>
      <c r="G8" s="105" t="n"/>
      <c r="H8" s="105" t="n"/>
      <c r="I8" s="105" t="n"/>
      <c r="J8" s="105" t="n"/>
      <c r="K8" s="105" t="n"/>
      <c r="L8" s="105" t="n"/>
      <c r="M8" s="105" t="n"/>
      <c r="N8" s="77">
        <f>SUM(InnovationProjectResults[[#This Row],[Identify - Define]:[Communicate - Fun (CV)]])</f>
        <v/>
      </c>
      <c r="O8" s="70">
        <f>_xlfn.RANK.EQ(InnovationProjectResults[[#This Row],[Innovation Project Score]],InnovationProjectResults[Innovation Project Score],0)</f>
        <v/>
      </c>
    </row>
    <row r="9" ht="21" customHeight="1">
      <c r="A9" s="104" t="n">
        <v>67801</v>
      </c>
      <c r="B9" s="104">
        <f>INDEX(OfficialTeamList[Pod Number],MATCH(InnovationProjectResults[[#This Row],[Team '#]], OfficialTeamList[Team '#],0))</f>
        <v/>
      </c>
      <c r="C9" s="107">
        <f>INDEX(OfficialTeamList[Team Name],MATCH(InnovationProjectResults[[#This Row],[Team '#]], OfficialTeamList[Team '#],0))</f>
        <v/>
      </c>
      <c r="D9" s="105" t="n"/>
      <c r="E9" s="105" t="n"/>
      <c r="F9" s="105" t="n"/>
      <c r="G9" s="105" t="n"/>
      <c r="H9" s="105" t="n"/>
      <c r="I9" s="105" t="n"/>
      <c r="J9" s="105" t="n"/>
      <c r="K9" s="105" t="n"/>
      <c r="L9" s="105" t="n"/>
      <c r="M9" s="105" t="n"/>
      <c r="N9" s="77">
        <f>SUM(InnovationProjectResults[[#This Row],[Identify - Define]:[Communicate - Fun (CV)]])</f>
        <v/>
      </c>
      <c r="O9" s="70">
        <f>_xlfn.RANK.EQ(InnovationProjectResults[[#This Row],[Innovation Project Score]],InnovationProjectResults[Innovation Project Score],0)</f>
        <v/>
      </c>
    </row>
    <row r="10" ht="21" customHeight="1">
      <c r="A10" s="104" t="n">
        <v>68850</v>
      </c>
      <c r="B10" s="104">
        <f>INDEX(OfficialTeamList[Pod Number],MATCH(InnovationProjectResults[[#This Row],[Team '#]], OfficialTeamList[Team '#],0))</f>
        <v/>
      </c>
      <c r="C10" s="107">
        <f>INDEX(OfficialTeamList[Team Name],MATCH(InnovationProjectResults[[#This Row],[Team '#]], OfficialTeamList[Team '#],0))</f>
        <v/>
      </c>
      <c r="D10" s="105" t="n"/>
      <c r="E10" s="105" t="n"/>
      <c r="F10" s="105" t="n"/>
      <c r="G10" s="105" t="n"/>
      <c r="H10" s="105" t="n"/>
      <c r="I10" s="105" t="n"/>
      <c r="J10" s="105" t="n"/>
      <c r="K10" s="105" t="n"/>
      <c r="L10" s="105" t="n"/>
      <c r="M10" s="105" t="n"/>
      <c r="N10" s="77">
        <f>SUM(InnovationProjectResults[[#This Row],[Identify - Define]:[Communicate - Fun (CV)]])</f>
        <v/>
      </c>
      <c r="O10" s="70">
        <f>_xlfn.RANK.EQ(InnovationProjectResults[[#This Row],[Innovation Project Score]],InnovationProjectResults[Innovation Project Score],0)</f>
        <v/>
      </c>
    </row>
    <row r="11" ht="21" customHeight="1">
      <c r="A11" s="104" t="n">
        <v>71673</v>
      </c>
      <c r="B11" s="104">
        <f>INDEX(OfficialTeamList[Pod Number],MATCH(InnovationProjectResults[[#This Row],[Team '#]], OfficialTeamList[Team '#],0))</f>
        <v/>
      </c>
      <c r="C11" s="107">
        <f>INDEX(OfficialTeamList[Team Name],MATCH(InnovationProjectResults[[#This Row],[Team '#]], OfficialTeamList[Team '#],0))</f>
        <v/>
      </c>
      <c r="D11" s="105" t="n"/>
      <c r="E11" s="105" t="n"/>
      <c r="F11" s="105" t="n"/>
      <c r="G11" s="105" t="n"/>
      <c r="H11" s="105" t="n"/>
      <c r="I11" s="105" t="n"/>
      <c r="J11" s="105" t="n"/>
      <c r="K11" s="105" t="n"/>
      <c r="L11" s="105" t="n"/>
      <c r="M11" s="105" t="n"/>
      <c r="N11" s="77">
        <f>SUM(InnovationProjectResults[[#This Row],[Identify - Define]:[Communicate - Fun (CV)]])</f>
        <v/>
      </c>
      <c r="O11" s="70">
        <f>_xlfn.RANK.EQ(InnovationProjectResults[[#This Row],[Innovation Project Score]],InnovationProjectResults[Innovation Project Score],0)</f>
        <v/>
      </c>
    </row>
    <row r="12" ht="21" customHeight="1">
      <c r="A12" s="104" t="n">
        <v>73002</v>
      </c>
      <c r="B12" s="104">
        <f>INDEX(OfficialTeamList[Pod Number],MATCH(InnovationProjectResults[[#This Row],[Team '#]], OfficialTeamList[Team '#],0))</f>
        <v/>
      </c>
      <c r="C12" s="107">
        <f>INDEX(OfficialTeamList[Team Name],MATCH(InnovationProjectResults[[#This Row],[Team '#]], OfficialTeamList[Team '#],0))</f>
        <v/>
      </c>
      <c r="D12" s="105" t="n"/>
      <c r="E12" s="105" t="n"/>
      <c r="F12" s="105" t="n"/>
      <c r="G12" s="105" t="n"/>
      <c r="H12" s="105" t="n"/>
      <c r="I12" s="105" t="n"/>
      <c r="J12" s="105" t="n"/>
      <c r="K12" s="105" t="n"/>
      <c r="L12" s="105" t="n"/>
      <c r="M12" s="105" t="n"/>
      <c r="N12" s="77">
        <f>SUM(InnovationProjectResults[[#This Row],[Identify - Define]:[Communicate - Fun (CV)]])</f>
        <v/>
      </c>
      <c r="O12" s="70">
        <f>_xlfn.RANK.EQ(InnovationProjectResults[[#This Row],[Innovation Project Score]],InnovationProjectResults[Innovation Project Score],0)</f>
        <v/>
      </c>
    </row>
    <row r="13" ht="21" customHeight="1">
      <c r="A13" s="104" t="n">
        <v>73106</v>
      </c>
      <c r="B13" s="104">
        <f>INDEX(OfficialTeamList[Pod Number],MATCH(InnovationProjectResults[[#This Row],[Team '#]], OfficialTeamList[Team '#],0))</f>
        <v/>
      </c>
      <c r="C13" s="107">
        <f>INDEX(OfficialTeamList[Team Name],MATCH(InnovationProjectResults[[#This Row],[Team '#]], OfficialTeamList[Team '#],0))</f>
        <v/>
      </c>
      <c r="D13" s="105" t="n"/>
      <c r="E13" s="105" t="n"/>
      <c r="F13" s="105" t="n"/>
      <c r="G13" s="105" t="n"/>
      <c r="H13" s="105" t="n"/>
      <c r="I13" s="105" t="n"/>
      <c r="J13" s="105" t="n"/>
      <c r="K13" s="105" t="n"/>
      <c r="L13" s="105" t="n"/>
      <c r="M13" s="105" t="n"/>
      <c r="N13" s="77">
        <f>SUM(InnovationProjectResults[[#This Row],[Identify - Define]:[Communicate - Fun (CV)]])</f>
        <v/>
      </c>
      <c r="O13"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3"/>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 OfficialTeamList[Team '#],0))</f>
        <v/>
      </c>
      <c r="C2" s="107">
        <f>INDEX(OfficialTeamList[Team Name],MATCH(RobotDesignResults[[#This Row],[Team '#]], OfficialTeamList[Team '#],0))</f>
        <v/>
      </c>
      <c r="D2" s="105" t="n"/>
      <c r="E2" s="105" t="n"/>
      <c r="F2" s="105" t="n"/>
      <c r="G2" s="105" t="n"/>
      <c r="H2" s="105" t="n"/>
      <c r="I2" s="105" t="n"/>
      <c r="J2" s="105" t="n"/>
      <c r="K2" s="105" t="n"/>
      <c r="L2" s="105" t="n"/>
      <c r="M2" s="105" t="n"/>
      <c r="N2" s="77">
        <f>SUM(RobotDesignResults[[#This Row],[Identify - Strategy]:[Communicate - Fun (CV)]])</f>
        <v/>
      </c>
      <c r="O2" s="70">
        <f>_xlfn.RANK.EQ(RobotDesignResults[[#This Row],[Robot Design Score]],RobotDesignResults[Robot Design Score],0)</f>
        <v/>
      </c>
    </row>
    <row r="3" ht="21" customHeight="1">
      <c r="A3" s="104" t="n">
        <v>24277</v>
      </c>
      <c r="B3" s="104">
        <f>INDEX(OfficialTeamList[Pod Number],MATCH(RobotDesignResults[[#This Row],[Team '#]], OfficialTeamList[Team '#],0))</f>
        <v/>
      </c>
      <c r="C3" s="107">
        <f>INDEX(OfficialTeamList[Team Name],MATCH(RobotDesignResults[[#This Row],[Team '#]], OfficialTeamList[Team '#],0))</f>
        <v/>
      </c>
      <c r="D3" s="105" t="n"/>
      <c r="E3" s="105" t="n"/>
      <c r="F3" s="105" t="n"/>
      <c r="G3" s="105" t="n"/>
      <c r="H3" s="105" t="n"/>
      <c r="I3" s="105" t="n"/>
      <c r="J3" s="105" t="n"/>
      <c r="K3" s="105" t="n"/>
      <c r="L3" s="105" t="n"/>
      <c r="M3" s="105" t="n"/>
      <c r="N3" s="77">
        <f>SUM(RobotDesignResults[[#This Row],[Identify - Strategy]:[Communicate - Fun (CV)]])</f>
        <v/>
      </c>
      <c r="O3" s="70">
        <f>_xlfn.RANK.EQ(RobotDesignResults[[#This Row],[Robot Design Score]],RobotDesignResults[Robot Design Score],0)</f>
        <v/>
      </c>
    </row>
    <row r="4" ht="21" customHeight="1">
      <c r="A4" s="104" t="n">
        <v>26034</v>
      </c>
      <c r="B4" s="104">
        <f>INDEX(OfficialTeamList[Pod Number],MATCH(RobotDesignResults[[#This Row],[Team '#]], OfficialTeamList[Team '#],0))</f>
        <v/>
      </c>
      <c r="C4" s="107">
        <f>INDEX(OfficialTeamList[Team Name],MATCH(RobotDesignResults[[#This Row],[Team '#]], OfficialTeamList[Team '#],0))</f>
        <v/>
      </c>
      <c r="D4" s="105" t="n"/>
      <c r="E4" s="105" t="n"/>
      <c r="F4" s="105" t="n"/>
      <c r="G4" s="105" t="n"/>
      <c r="H4" s="105" t="n"/>
      <c r="I4" s="105" t="n"/>
      <c r="J4" s="105" t="n"/>
      <c r="K4" s="105" t="n"/>
      <c r="L4" s="105" t="n"/>
      <c r="M4" s="105" t="n"/>
      <c r="N4" s="77">
        <f>SUM(RobotDesignResults[[#This Row],[Identify - Strategy]:[Communicate - Fun (CV)]])</f>
        <v/>
      </c>
      <c r="O4" s="70">
        <f>_xlfn.RANK.EQ(RobotDesignResults[[#This Row],[Robot Design Score]],RobotDesignResults[Robot Design Score],0)</f>
        <v/>
      </c>
    </row>
    <row r="5" ht="21" customHeight="1">
      <c r="A5" s="104" t="n">
        <v>60801</v>
      </c>
      <c r="B5" s="104">
        <f>INDEX(OfficialTeamList[Pod Number],MATCH(RobotDesignResults[[#This Row],[Team '#]], OfficialTeamList[Team '#],0))</f>
        <v/>
      </c>
      <c r="C5" s="107">
        <f>INDEX(OfficialTeamList[Team Name],MATCH(RobotDesignResults[[#This Row],[Team '#]], OfficialTeamList[Team '#],0))</f>
        <v/>
      </c>
      <c r="D5" s="105" t="n"/>
      <c r="E5" s="105" t="n"/>
      <c r="F5" s="105" t="n"/>
      <c r="G5" s="105" t="n"/>
      <c r="H5" s="105" t="n"/>
      <c r="I5" s="105" t="n"/>
      <c r="J5" s="105" t="n"/>
      <c r="K5" s="105" t="n"/>
      <c r="L5" s="105" t="n"/>
      <c r="M5" s="105" t="n"/>
      <c r="N5" s="77">
        <f>SUM(RobotDesignResults[[#This Row],[Identify - Strategy]:[Communicate - Fun (CV)]])</f>
        <v/>
      </c>
      <c r="O5" s="70">
        <f>_xlfn.RANK.EQ(RobotDesignResults[[#This Row],[Robot Design Score]],RobotDesignResults[Robot Design Score],0)</f>
        <v/>
      </c>
    </row>
    <row r="6" ht="21" customHeight="1">
      <c r="A6" s="104" t="n">
        <v>62149</v>
      </c>
      <c r="B6" s="104">
        <f>INDEX(OfficialTeamList[Pod Number],MATCH(RobotDesignResults[[#This Row],[Team '#]], OfficialTeamList[Team '#],0))</f>
        <v/>
      </c>
      <c r="C6" s="107">
        <f>INDEX(OfficialTeamList[Team Name],MATCH(RobotDesignResults[[#This Row],[Team '#]], OfficialTeamList[Team '#],0))</f>
        <v/>
      </c>
      <c r="D6" s="105" t="n"/>
      <c r="E6" s="105" t="n"/>
      <c r="F6" s="105" t="n"/>
      <c r="G6" s="105" t="n"/>
      <c r="H6" s="105" t="n"/>
      <c r="I6" s="105" t="n"/>
      <c r="J6" s="105" t="n"/>
      <c r="K6" s="105" t="n"/>
      <c r="L6" s="105" t="n"/>
      <c r="M6" s="105" t="n"/>
      <c r="N6" s="77">
        <f>SUM(RobotDesignResults[[#This Row],[Identify - Strategy]:[Communicate - Fun (CV)]])</f>
        <v/>
      </c>
      <c r="O6" s="70">
        <f>_xlfn.RANK.EQ(RobotDesignResults[[#This Row],[Robot Design Score]],RobotDesignResults[Robot Design Score],0)</f>
        <v/>
      </c>
    </row>
    <row r="7" ht="21" customHeight="1">
      <c r="A7" s="104" t="n">
        <v>62706</v>
      </c>
      <c r="B7" s="104">
        <f>INDEX(OfficialTeamList[Pod Number],MATCH(RobotDesignResults[[#This Row],[Team '#]], OfficialTeamList[Team '#],0))</f>
        <v/>
      </c>
      <c r="C7" s="107">
        <f>INDEX(OfficialTeamList[Team Name],MATCH(RobotDesignResults[[#This Row],[Team '#]], OfficialTeamList[Team '#],0))</f>
        <v/>
      </c>
      <c r="D7" s="105" t="n"/>
      <c r="E7" s="105" t="n"/>
      <c r="F7" s="105" t="n"/>
      <c r="G7" s="105" t="n"/>
      <c r="H7" s="105" t="n"/>
      <c r="I7" s="105" t="n"/>
      <c r="J7" s="105" t="n"/>
      <c r="K7" s="105" t="n"/>
      <c r="L7" s="105" t="n"/>
      <c r="M7" s="105" t="n"/>
      <c r="N7" s="77">
        <f>SUM(RobotDesignResults[[#This Row],[Identify - Strategy]:[Communicate - Fun (CV)]])</f>
        <v/>
      </c>
      <c r="O7" s="70">
        <f>_xlfn.RANK.EQ(RobotDesignResults[[#This Row],[Robot Design Score]],RobotDesignResults[Robot Design Score],0)</f>
        <v/>
      </c>
    </row>
    <row r="8" ht="21" customHeight="1">
      <c r="A8" s="104" t="n">
        <v>67083</v>
      </c>
      <c r="B8" s="104">
        <f>INDEX(OfficialTeamList[Pod Number],MATCH(RobotDesignResults[[#This Row],[Team '#]], OfficialTeamList[Team '#],0))</f>
        <v/>
      </c>
      <c r="C8" s="107">
        <f>INDEX(OfficialTeamList[Team Name],MATCH(RobotDesignResults[[#This Row],[Team '#]], OfficialTeamList[Team '#],0))</f>
        <v/>
      </c>
      <c r="D8" s="105" t="n"/>
      <c r="E8" s="105" t="n"/>
      <c r="F8" s="105" t="n"/>
      <c r="G8" s="105" t="n"/>
      <c r="H8" s="105" t="n"/>
      <c r="I8" s="105" t="n"/>
      <c r="J8" s="105" t="n"/>
      <c r="K8" s="105" t="n"/>
      <c r="L8" s="105" t="n"/>
      <c r="M8" s="105" t="n"/>
      <c r="N8" s="77">
        <f>SUM(RobotDesignResults[[#This Row],[Identify - Strategy]:[Communicate - Fun (CV)]])</f>
        <v/>
      </c>
      <c r="O8" s="70">
        <f>_xlfn.RANK.EQ(RobotDesignResults[[#This Row],[Robot Design Score]],RobotDesignResults[Robot Design Score],0)</f>
        <v/>
      </c>
    </row>
    <row r="9" ht="21" customHeight="1">
      <c r="A9" s="104" t="n">
        <v>67801</v>
      </c>
      <c r="B9" s="104">
        <f>INDEX(OfficialTeamList[Pod Number],MATCH(RobotDesignResults[[#This Row],[Team '#]], OfficialTeamList[Team '#],0))</f>
        <v/>
      </c>
      <c r="C9" s="107">
        <f>INDEX(OfficialTeamList[Team Name],MATCH(RobotDesignResults[[#This Row],[Team '#]], OfficialTeamList[Team '#],0))</f>
        <v/>
      </c>
      <c r="D9" s="105" t="n"/>
      <c r="E9" s="105" t="n"/>
      <c r="F9" s="105" t="n"/>
      <c r="G9" s="105" t="n"/>
      <c r="H9" s="105" t="n"/>
      <c r="I9" s="105" t="n"/>
      <c r="J9" s="105" t="n"/>
      <c r="K9" s="105" t="n"/>
      <c r="L9" s="105" t="n"/>
      <c r="M9" s="105" t="n"/>
      <c r="N9" s="77">
        <f>SUM(RobotDesignResults[[#This Row],[Identify - Strategy]:[Communicate - Fun (CV)]])</f>
        <v/>
      </c>
      <c r="O9" s="70">
        <f>_xlfn.RANK.EQ(RobotDesignResults[[#This Row],[Robot Design Score]],RobotDesignResults[Robot Design Score],0)</f>
        <v/>
      </c>
    </row>
    <row r="10" ht="21" customHeight="1">
      <c r="A10" s="104" t="n">
        <v>68850</v>
      </c>
      <c r="B10" s="104">
        <f>INDEX(OfficialTeamList[Pod Number],MATCH(RobotDesignResults[[#This Row],[Team '#]], OfficialTeamList[Team '#],0))</f>
        <v/>
      </c>
      <c r="C10" s="107">
        <f>INDEX(OfficialTeamList[Team Name],MATCH(RobotDesignResults[[#This Row],[Team '#]], OfficialTeamList[Team '#],0))</f>
        <v/>
      </c>
      <c r="D10" s="105" t="n"/>
      <c r="E10" s="105" t="n"/>
      <c r="F10" s="105" t="n"/>
      <c r="G10" s="105" t="n"/>
      <c r="H10" s="105" t="n"/>
      <c r="I10" s="105" t="n"/>
      <c r="J10" s="105" t="n"/>
      <c r="K10" s="105" t="n"/>
      <c r="L10" s="105" t="n"/>
      <c r="M10" s="105" t="n"/>
      <c r="N10" s="77">
        <f>SUM(RobotDesignResults[[#This Row],[Identify - Strategy]:[Communicate - Fun (CV)]])</f>
        <v/>
      </c>
      <c r="O10" s="70">
        <f>_xlfn.RANK.EQ(RobotDesignResults[[#This Row],[Robot Design Score]],RobotDesignResults[Robot Design Score],0)</f>
        <v/>
      </c>
    </row>
    <row r="11" ht="21" customHeight="1">
      <c r="A11" s="104" t="n">
        <v>71673</v>
      </c>
      <c r="B11" s="104">
        <f>INDEX(OfficialTeamList[Pod Number],MATCH(RobotDesignResults[[#This Row],[Team '#]], OfficialTeamList[Team '#],0))</f>
        <v/>
      </c>
      <c r="C11" s="107">
        <f>INDEX(OfficialTeamList[Team Name],MATCH(RobotDesignResults[[#This Row],[Team '#]], OfficialTeamList[Team '#],0))</f>
        <v/>
      </c>
      <c r="D11" s="105" t="n"/>
      <c r="E11" s="105" t="n"/>
      <c r="F11" s="105" t="n"/>
      <c r="G11" s="105" t="n"/>
      <c r="H11" s="105" t="n"/>
      <c r="I11" s="105" t="n"/>
      <c r="J11" s="105" t="n"/>
      <c r="K11" s="105" t="n"/>
      <c r="L11" s="105" t="n"/>
      <c r="M11" s="105" t="n"/>
      <c r="N11" s="77">
        <f>SUM(RobotDesignResults[[#This Row],[Identify - Strategy]:[Communicate - Fun (CV)]])</f>
        <v/>
      </c>
      <c r="O11" s="70">
        <f>_xlfn.RANK.EQ(RobotDesignResults[[#This Row],[Robot Design Score]],RobotDesignResults[Robot Design Score],0)</f>
        <v/>
      </c>
    </row>
    <row r="12" ht="21" customHeight="1">
      <c r="A12" s="104" t="n">
        <v>73002</v>
      </c>
      <c r="B12" s="104">
        <f>INDEX(OfficialTeamList[Pod Number],MATCH(RobotDesignResults[[#This Row],[Team '#]], OfficialTeamList[Team '#],0))</f>
        <v/>
      </c>
      <c r="C12" s="107">
        <f>INDEX(OfficialTeamList[Team Name],MATCH(RobotDesignResults[[#This Row],[Team '#]], OfficialTeamList[Team '#],0))</f>
        <v/>
      </c>
      <c r="D12" s="105" t="n"/>
      <c r="E12" s="105" t="n"/>
      <c r="F12" s="105" t="n"/>
      <c r="G12" s="105" t="n"/>
      <c r="H12" s="105" t="n"/>
      <c r="I12" s="105" t="n"/>
      <c r="J12" s="105" t="n"/>
      <c r="K12" s="105" t="n"/>
      <c r="L12" s="105" t="n"/>
      <c r="M12" s="105" t="n"/>
      <c r="N12" s="77">
        <f>SUM(RobotDesignResults[[#This Row],[Identify - Strategy]:[Communicate - Fun (CV)]])</f>
        <v/>
      </c>
      <c r="O12" s="70">
        <f>_xlfn.RANK.EQ(RobotDesignResults[[#This Row],[Robot Design Score]],RobotDesignResults[Robot Design Score],0)</f>
        <v/>
      </c>
    </row>
    <row r="13" ht="21" customHeight="1">
      <c r="A13" s="104" t="n">
        <v>73106</v>
      </c>
      <c r="B13" s="104">
        <f>INDEX(OfficialTeamList[Pod Number],MATCH(RobotDesignResults[[#This Row],[Team '#]], OfficialTeamList[Team '#],0))</f>
        <v/>
      </c>
      <c r="C13" s="107">
        <f>INDEX(OfficialTeamList[Team Name],MATCH(RobotDesignResults[[#This Row],[Team '#]], OfficialTeamList[Team '#],0))</f>
        <v/>
      </c>
      <c r="D13" s="105" t="n"/>
      <c r="E13" s="105" t="n"/>
      <c r="F13" s="105" t="n"/>
      <c r="G13" s="105" t="n"/>
      <c r="H13" s="105" t="n"/>
      <c r="I13" s="105" t="n"/>
      <c r="J13" s="105" t="n"/>
      <c r="K13" s="105" t="n"/>
      <c r="L13" s="105" t="n"/>
      <c r="M13" s="105" t="n"/>
      <c r="N13" s="77">
        <f>SUM(RobotDesignResults[[#This Row],[Identify - Strategy]:[Communicate - Fun (CV)]])</f>
        <v/>
      </c>
      <c r="O13"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3"/>
  <sheetViews>
    <sheetView zoomScaleNormal="100" zoomScalePageLayoutView="140" workbookViewId="0">
      <pane ySplit="1" topLeftCell="A2" activePane="bottomLeft" state="frozen"/>
      <selection pane="bottomLeft" activeCell="A1" sqref="A1"/>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 OfficialTeamList[Team '#],0))</f>
        <v/>
      </c>
      <c r="C2" s="107">
        <f>INDEX(OfficialTeamList[Team Name],MATCH(CoreValuesResults[[#This Row],[Team '#]], OfficialTeamList[Team '#],0))</f>
        <v/>
      </c>
      <c r="D2" s="71">
        <f>INDEX(InnovationProjectResults[Identify - Research (CV)],MATCH(CoreValuesResults[[#This Row],[Team '#]],InnovationProjectResults[Team '#],0))</f>
        <v/>
      </c>
      <c r="E2" s="71">
        <f>INDEX(InnovationProjectResults[Design - Teamwork (CV)],MATCH(CoreValuesResults[[#This Row],[Team '#]],InnovationProjectResults[Team '#],0))</f>
        <v/>
      </c>
      <c r="F2" s="71">
        <f>INDEX(InnovationProjectResults[Create - Innovation (CV)],MATCH(CoreValuesResults[[#This Row],[Team '#]],InnovationProjectResults[Team '#],0))</f>
        <v/>
      </c>
      <c r="G2" s="71">
        <f>INDEX(InnovationProjectResults[Communicate - Impact (CV)],MATCH(CoreValuesResults[[#This Row],[Team '#]],InnovationProjectResults[Team '#],0))</f>
        <v/>
      </c>
      <c r="H2" s="71">
        <f>INDEX(InnovationProjectResults[Communicate - Fun (CV)],MATCH(CoreValuesResults[[#This Row],[Team '#]],InnovationProjectResults[Team '#],0))</f>
        <v/>
      </c>
      <c r="I2" s="71">
        <f>INDEX(RobotDesignResults[Identify - Research (CV)],MATCH(CoreValuesResults[[#This Row],[Team '#]],RobotDesignResults[Team '#],0))</f>
        <v/>
      </c>
      <c r="J2" s="71">
        <f>INDEX(RobotDesignResults[Design - Ideas (CV)],MATCH(CoreValuesResults[[#This Row],[Team '#]],RobotDesignResults[Team '#],0))</f>
        <v/>
      </c>
      <c r="K2" s="71">
        <f>INDEX(RobotDesignResults[Iterate - Improvements (CV)],MATCH(CoreValuesResults[[#This Row],[Team '#]],RobotDesignResults[Team '#],0))</f>
        <v/>
      </c>
      <c r="L2" s="71">
        <f>INDEX(RobotDesignResults[Communicate - Impact (CV)],MATCH(CoreValuesResults[[#This Row],[Team '#]],RobotDesignResults[Team '#],0))</f>
        <v/>
      </c>
      <c r="M2" s="71">
        <f>INDEX(RobotDesignResults[Communicate - Fun (CV)],MATCH(CoreValuesResults[[#This Row],[Team '#]],RobotDesignResults[Team '#],0))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24277</v>
      </c>
      <c r="B3" s="104">
        <f>INDEX(OfficialTeamList[Pod Number],MATCH(CoreValuesResults[[#This Row],[Team '#]], OfficialTeamList[Team '#],0))</f>
        <v/>
      </c>
      <c r="C3" s="107">
        <f>INDEX(OfficialTeamList[Team Name],MATCH(CoreValuesResults[[#This Row],[Team '#]], OfficialTeamList[Team '#],0))</f>
        <v/>
      </c>
      <c r="D3" s="71">
        <f>INDEX(InnovationProjectResults[Identify - Research (CV)],MATCH(CoreValuesResults[[#This Row],[Team '#]],InnovationProjectResults[Team '#],0))</f>
        <v/>
      </c>
      <c r="E3" s="71">
        <f>INDEX(InnovationProjectResults[Design - Teamwork (CV)],MATCH(CoreValuesResults[[#This Row],[Team '#]],InnovationProjectResults[Team '#],0))</f>
        <v/>
      </c>
      <c r="F3" s="71">
        <f>INDEX(InnovationProjectResults[Create - Innovation (CV)],MATCH(CoreValuesResults[[#This Row],[Team '#]],InnovationProjectResults[Team '#],0))</f>
        <v/>
      </c>
      <c r="G3" s="71">
        <f>INDEX(InnovationProjectResults[Communicate - Impact (CV)],MATCH(CoreValuesResults[[#This Row],[Team '#]],InnovationProjectResults[Team '#],0))</f>
        <v/>
      </c>
      <c r="H3" s="71">
        <f>INDEX(InnovationProjectResults[Communicate - Fun (CV)],MATCH(CoreValuesResults[[#This Row],[Team '#]],InnovationProjectResults[Team '#],0))</f>
        <v/>
      </c>
      <c r="I3" s="71">
        <f>INDEX(RobotDesignResults[Identify - Research (CV)],MATCH(CoreValuesResults[[#This Row],[Team '#]],RobotDesignResults[Team '#],0))</f>
        <v/>
      </c>
      <c r="J3" s="71">
        <f>INDEX(RobotDesignResults[Design - Ideas (CV)],MATCH(CoreValuesResults[[#This Row],[Team '#]],RobotDesignResults[Team '#],0))</f>
        <v/>
      </c>
      <c r="K3" s="71">
        <f>INDEX(RobotDesignResults[Iterate - Improvements (CV)],MATCH(CoreValuesResults[[#This Row],[Team '#]],RobotDesignResults[Team '#],0))</f>
        <v/>
      </c>
      <c r="L3" s="71">
        <f>INDEX(RobotDesignResults[Communicate - Impact (CV)],MATCH(CoreValuesResults[[#This Row],[Team '#]],RobotDesignResults[Team '#],0))</f>
        <v/>
      </c>
      <c r="M3" s="71">
        <f>INDEX(RobotDesignResults[Communicate - Fun (CV)],MATCH(CoreValuesResults[[#This Row],[Team '#]],RobotDesignResults[Team '#],0))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26034</v>
      </c>
      <c r="B4" s="104">
        <f>INDEX(OfficialTeamList[Pod Number],MATCH(CoreValuesResults[[#This Row],[Team '#]], OfficialTeamList[Team '#],0))</f>
        <v/>
      </c>
      <c r="C4" s="107">
        <f>INDEX(OfficialTeamList[Team Name],MATCH(CoreValuesResults[[#This Row],[Team '#]], OfficialTeamList[Team '#],0))</f>
        <v/>
      </c>
      <c r="D4" s="71">
        <f>INDEX(InnovationProjectResults[Identify - Research (CV)],MATCH(CoreValuesResults[[#This Row],[Team '#]],InnovationProjectResults[Team '#],0))</f>
        <v/>
      </c>
      <c r="E4" s="71">
        <f>INDEX(InnovationProjectResults[Design - Teamwork (CV)],MATCH(CoreValuesResults[[#This Row],[Team '#]],InnovationProjectResults[Team '#],0))</f>
        <v/>
      </c>
      <c r="F4" s="71">
        <f>INDEX(InnovationProjectResults[Create - Innovation (CV)],MATCH(CoreValuesResults[[#This Row],[Team '#]],InnovationProjectResults[Team '#],0))</f>
        <v/>
      </c>
      <c r="G4" s="71">
        <f>INDEX(InnovationProjectResults[Communicate - Impact (CV)],MATCH(CoreValuesResults[[#This Row],[Team '#]],InnovationProjectResults[Team '#],0))</f>
        <v/>
      </c>
      <c r="H4" s="71">
        <f>INDEX(InnovationProjectResults[Communicate - Fun (CV)],MATCH(CoreValuesResults[[#This Row],[Team '#]],InnovationProjectResults[Team '#],0))</f>
        <v/>
      </c>
      <c r="I4" s="71">
        <f>INDEX(RobotDesignResults[Identify - Research (CV)],MATCH(CoreValuesResults[[#This Row],[Team '#]],RobotDesignResults[Team '#],0))</f>
        <v/>
      </c>
      <c r="J4" s="71">
        <f>INDEX(RobotDesignResults[Design - Ideas (CV)],MATCH(CoreValuesResults[[#This Row],[Team '#]],RobotDesignResults[Team '#],0))</f>
        <v/>
      </c>
      <c r="K4" s="71">
        <f>INDEX(RobotDesignResults[Iterate - Improvements (CV)],MATCH(CoreValuesResults[[#This Row],[Team '#]],RobotDesignResults[Team '#],0))</f>
        <v/>
      </c>
      <c r="L4" s="71">
        <f>INDEX(RobotDesignResults[Communicate - Impact (CV)],MATCH(CoreValuesResults[[#This Row],[Team '#]],RobotDesignResults[Team '#],0))</f>
        <v/>
      </c>
      <c r="M4" s="71">
        <f>INDEX(RobotDesignResults[Communicate - Fun (CV)],MATCH(CoreValuesResults[[#This Row],[Team '#]],RobotDesignResults[Team '#],0))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60801</v>
      </c>
      <c r="B5" s="104">
        <f>INDEX(OfficialTeamList[Pod Number],MATCH(CoreValuesResults[[#This Row],[Team '#]], OfficialTeamList[Team '#],0))</f>
        <v/>
      </c>
      <c r="C5" s="107">
        <f>INDEX(OfficialTeamList[Team Name],MATCH(CoreValuesResults[[#This Row],[Team '#]], OfficialTeamList[Team '#],0))</f>
        <v/>
      </c>
      <c r="D5" s="71">
        <f>INDEX(InnovationProjectResults[Identify - Research (CV)],MATCH(CoreValuesResults[[#This Row],[Team '#]],InnovationProjectResults[Team '#],0))</f>
        <v/>
      </c>
      <c r="E5" s="71">
        <f>INDEX(InnovationProjectResults[Design - Teamwork (CV)],MATCH(CoreValuesResults[[#This Row],[Team '#]],InnovationProjectResults[Team '#],0))</f>
        <v/>
      </c>
      <c r="F5" s="71">
        <f>INDEX(InnovationProjectResults[Create - Innovation (CV)],MATCH(CoreValuesResults[[#This Row],[Team '#]],InnovationProjectResults[Team '#],0))</f>
        <v/>
      </c>
      <c r="G5" s="71">
        <f>INDEX(InnovationProjectResults[Communicate - Impact (CV)],MATCH(CoreValuesResults[[#This Row],[Team '#]],InnovationProjectResults[Team '#],0))</f>
        <v/>
      </c>
      <c r="H5" s="71">
        <f>INDEX(InnovationProjectResults[Communicate - Fun (CV)],MATCH(CoreValuesResults[[#This Row],[Team '#]],InnovationProjectResults[Team '#],0))</f>
        <v/>
      </c>
      <c r="I5" s="71">
        <f>INDEX(RobotDesignResults[Identify - Research (CV)],MATCH(CoreValuesResults[[#This Row],[Team '#]],RobotDesignResults[Team '#],0))</f>
        <v/>
      </c>
      <c r="J5" s="71">
        <f>INDEX(RobotDesignResults[Design - Ideas (CV)],MATCH(CoreValuesResults[[#This Row],[Team '#]],RobotDesignResults[Team '#],0))</f>
        <v/>
      </c>
      <c r="K5" s="71">
        <f>INDEX(RobotDesignResults[Iterate - Improvements (CV)],MATCH(CoreValuesResults[[#This Row],[Team '#]],RobotDesignResults[Team '#],0))</f>
        <v/>
      </c>
      <c r="L5" s="71">
        <f>INDEX(RobotDesignResults[Communicate - Impact (CV)],MATCH(CoreValuesResults[[#This Row],[Team '#]],RobotDesignResults[Team '#],0))</f>
        <v/>
      </c>
      <c r="M5" s="71">
        <f>INDEX(RobotDesignResults[Communicate - Fun (CV)],MATCH(CoreValuesResults[[#This Row],[Team '#]],RobotDesignResults[Team '#],0))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62149</v>
      </c>
      <c r="B6" s="104">
        <f>INDEX(OfficialTeamList[Pod Number],MATCH(CoreValuesResults[[#This Row],[Team '#]], OfficialTeamList[Team '#],0))</f>
        <v/>
      </c>
      <c r="C6" s="107">
        <f>INDEX(OfficialTeamList[Team Name],MATCH(CoreValuesResults[[#This Row],[Team '#]], OfficialTeamList[Team '#],0))</f>
        <v/>
      </c>
      <c r="D6" s="71">
        <f>INDEX(InnovationProjectResults[Identify - Research (CV)],MATCH(CoreValuesResults[[#This Row],[Team '#]],InnovationProjectResults[Team '#],0))</f>
        <v/>
      </c>
      <c r="E6" s="71">
        <f>INDEX(InnovationProjectResults[Design - Teamwork (CV)],MATCH(CoreValuesResults[[#This Row],[Team '#]],InnovationProjectResults[Team '#],0))</f>
        <v/>
      </c>
      <c r="F6" s="71">
        <f>INDEX(InnovationProjectResults[Create - Innovation (CV)],MATCH(CoreValuesResults[[#This Row],[Team '#]],InnovationProjectResults[Team '#],0))</f>
        <v/>
      </c>
      <c r="G6" s="71">
        <f>INDEX(InnovationProjectResults[Communicate - Impact (CV)],MATCH(CoreValuesResults[[#This Row],[Team '#]],InnovationProjectResults[Team '#],0))</f>
        <v/>
      </c>
      <c r="H6" s="71">
        <f>INDEX(InnovationProjectResults[Communicate - Fun (CV)],MATCH(CoreValuesResults[[#This Row],[Team '#]],InnovationProjectResults[Team '#],0))</f>
        <v/>
      </c>
      <c r="I6" s="71">
        <f>INDEX(RobotDesignResults[Identify - Research (CV)],MATCH(CoreValuesResults[[#This Row],[Team '#]],RobotDesignResults[Team '#],0))</f>
        <v/>
      </c>
      <c r="J6" s="71">
        <f>INDEX(RobotDesignResults[Design - Ideas (CV)],MATCH(CoreValuesResults[[#This Row],[Team '#]],RobotDesignResults[Team '#],0))</f>
        <v/>
      </c>
      <c r="K6" s="71">
        <f>INDEX(RobotDesignResults[Iterate - Improvements (CV)],MATCH(CoreValuesResults[[#This Row],[Team '#]],RobotDesignResults[Team '#],0))</f>
        <v/>
      </c>
      <c r="L6" s="71">
        <f>INDEX(RobotDesignResults[Communicate - Impact (CV)],MATCH(CoreValuesResults[[#This Row],[Team '#]],RobotDesignResults[Team '#],0))</f>
        <v/>
      </c>
      <c r="M6" s="71">
        <f>INDEX(RobotDesignResults[Communicate - Fun (CV)],MATCH(CoreValuesResults[[#This Row],[Team '#]],RobotDesignResults[Team '#],0))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62706</v>
      </c>
      <c r="B7" s="104">
        <f>INDEX(OfficialTeamList[Pod Number],MATCH(CoreValuesResults[[#This Row],[Team '#]], OfficialTeamList[Team '#],0))</f>
        <v/>
      </c>
      <c r="C7" s="107">
        <f>INDEX(OfficialTeamList[Team Name],MATCH(CoreValuesResults[[#This Row],[Team '#]], OfficialTeamList[Team '#],0))</f>
        <v/>
      </c>
      <c r="D7" s="71">
        <f>INDEX(InnovationProjectResults[Identify - Research (CV)],MATCH(CoreValuesResults[[#This Row],[Team '#]],InnovationProjectResults[Team '#],0))</f>
        <v/>
      </c>
      <c r="E7" s="71">
        <f>INDEX(InnovationProjectResults[Design - Teamwork (CV)],MATCH(CoreValuesResults[[#This Row],[Team '#]],InnovationProjectResults[Team '#],0))</f>
        <v/>
      </c>
      <c r="F7" s="71">
        <f>INDEX(InnovationProjectResults[Create - Innovation (CV)],MATCH(CoreValuesResults[[#This Row],[Team '#]],InnovationProjectResults[Team '#],0))</f>
        <v/>
      </c>
      <c r="G7" s="71">
        <f>INDEX(InnovationProjectResults[Communicate - Impact (CV)],MATCH(CoreValuesResults[[#This Row],[Team '#]],InnovationProjectResults[Team '#],0))</f>
        <v/>
      </c>
      <c r="H7" s="71">
        <f>INDEX(InnovationProjectResults[Communicate - Fun (CV)],MATCH(CoreValuesResults[[#This Row],[Team '#]],InnovationProjectResults[Team '#],0))</f>
        <v/>
      </c>
      <c r="I7" s="71">
        <f>INDEX(RobotDesignResults[Identify - Research (CV)],MATCH(CoreValuesResults[[#This Row],[Team '#]],RobotDesignResults[Team '#],0))</f>
        <v/>
      </c>
      <c r="J7" s="71">
        <f>INDEX(RobotDesignResults[Design - Ideas (CV)],MATCH(CoreValuesResults[[#This Row],[Team '#]],RobotDesignResults[Team '#],0))</f>
        <v/>
      </c>
      <c r="K7" s="71">
        <f>INDEX(RobotDesignResults[Iterate - Improvements (CV)],MATCH(CoreValuesResults[[#This Row],[Team '#]],RobotDesignResults[Team '#],0))</f>
        <v/>
      </c>
      <c r="L7" s="71">
        <f>INDEX(RobotDesignResults[Communicate - Impact (CV)],MATCH(CoreValuesResults[[#This Row],[Team '#]],RobotDesignResults[Team '#],0))</f>
        <v/>
      </c>
      <c r="M7" s="71">
        <f>INDEX(RobotDesignResults[Communicate - Fun (CV)],MATCH(CoreValuesResults[[#This Row],[Team '#]],RobotDesignResults[Team '#],0))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67083</v>
      </c>
      <c r="B8" s="104">
        <f>INDEX(OfficialTeamList[Pod Number],MATCH(CoreValuesResults[[#This Row],[Team '#]], OfficialTeamList[Team '#],0))</f>
        <v/>
      </c>
      <c r="C8" s="107">
        <f>INDEX(OfficialTeamList[Team Name],MATCH(CoreValuesResults[[#This Row],[Team '#]], OfficialTeamList[Team '#],0))</f>
        <v/>
      </c>
      <c r="D8" s="71">
        <f>INDEX(InnovationProjectResults[Identify - Research (CV)],MATCH(CoreValuesResults[[#This Row],[Team '#]],InnovationProjectResults[Team '#],0))</f>
        <v/>
      </c>
      <c r="E8" s="71">
        <f>INDEX(InnovationProjectResults[Design - Teamwork (CV)],MATCH(CoreValuesResults[[#This Row],[Team '#]],InnovationProjectResults[Team '#],0))</f>
        <v/>
      </c>
      <c r="F8" s="71">
        <f>INDEX(InnovationProjectResults[Create - Innovation (CV)],MATCH(CoreValuesResults[[#This Row],[Team '#]],InnovationProjectResults[Team '#],0))</f>
        <v/>
      </c>
      <c r="G8" s="71">
        <f>INDEX(InnovationProjectResults[Communicate - Impact (CV)],MATCH(CoreValuesResults[[#This Row],[Team '#]],InnovationProjectResults[Team '#],0))</f>
        <v/>
      </c>
      <c r="H8" s="71">
        <f>INDEX(InnovationProjectResults[Communicate - Fun (CV)],MATCH(CoreValuesResults[[#This Row],[Team '#]],InnovationProjectResults[Team '#],0))</f>
        <v/>
      </c>
      <c r="I8" s="71">
        <f>INDEX(RobotDesignResults[Identify - Research (CV)],MATCH(CoreValuesResults[[#This Row],[Team '#]],RobotDesignResults[Team '#],0))</f>
        <v/>
      </c>
      <c r="J8" s="71">
        <f>INDEX(RobotDesignResults[Design - Ideas (CV)],MATCH(CoreValuesResults[[#This Row],[Team '#]],RobotDesignResults[Team '#],0))</f>
        <v/>
      </c>
      <c r="K8" s="71">
        <f>INDEX(RobotDesignResults[Iterate - Improvements (CV)],MATCH(CoreValuesResults[[#This Row],[Team '#]],RobotDesignResults[Team '#],0))</f>
        <v/>
      </c>
      <c r="L8" s="71">
        <f>INDEX(RobotDesignResults[Communicate - Impact (CV)],MATCH(CoreValuesResults[[#This Row],[Team '#]],RobotDesignResults[Team '#],0))</f>
        <v/>
      </c>
      <c r="M8" s="71">
        <f>INDEX(RobotDesignResults[Communicate - Fun (CV)],MATCH(CoreValuesResults[[#This Row],[Team '#]],RobotDesignResults[Team '#],0))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67801</v>
      </c>
      <c r="B9" s="104">
        <f>INDEX(OfficialTeamList[Pod Number],MATCH(CoreValuesResults[[#This Row],[Team '#]], OfficialTeamList[Team '#],0))</f>
        <v/>
      </c>
      <c r="C9" s="107">
        <f>INDEX(OfficialTeamList[Team Name],MATCH(CoreValuesResults[[#This Row],[Team '#]], OfficialTeamList[Team '#],0))</f>
        <v/>
      </c>
      <c r="D9" s="71">
        <f>INDEX(InnovationProjectResults[Identify - Research (CV)],MATCH(CoreValuesResults[[#This Row],[Team '#]],InnovationProjectResults[Team '#],0))</f>
        <v/>
      </c>
      <c r="E9" s="71">
        <f>INDEX(InnovationProjectResults[Design - Teamwork (CV)],MATCH(CoreValuesResults[[#This Row],[Team '#]],InnovationProjectResults[Team '#],0))</f>
        <v/>
      </c>
      <c r="F9" s="71">
        <f>INDEX(InnovationProjectResults[Create - Innovation (CV)],MATCH(CoreValuesResults[[#This Row],[Team '#]],InnovationProjectResults[Team '#],0))</f>
        <v/>
      </c>
      <c r="G9" s="71">
        <f>INDEX(InnovationProjectResults[Communicate - Impact (CV)],MATCH(CoreValuesResults[[#This Row],[Team '#]],InnovationProjectResults[Team '#],0))</f>
        <v/>
      </c>
      <c r="H9" s="71">
        <f>INDEX(InnovationProjectResults[Communicate - Fun (CV)],MATCH(CoreValuesResults[[#This Row],[Team '#]],InnovationProjectResults[Team '#],0))</f>
        <v/>
      </c>
      <c r="I9" s="71">
        <f>INDEX(RobotDesignResults[Identify - Research (CV)],MATCH(CoreValuesResults[[#This Row],[Team '#]],RobotDesignResults[Team '#],0))</f>
        <v/>
      </c>
      <c r="J9" s="71">
        <f>INDEX(RobotDesignResults[Design - Ideas (CV)],MATCH(CoreValuesResults[[#This Row],[Team '#]],RobotDesignResults[Team '#],0))</f>
        <v/>
      </c>
      <c r="K9" s="71">
        <f>INDEX(RobotDesignResults[Iterate - Improvements (CV)],MATCH(CoreValuesResults[[#This Row],[Team '#]],RobotDesignResults[Team '#],0))</f>
        <v/>
      </c>
      <c r="L9" s="71">
        <f>INDEX(RobotDesignResults[Communicate - Impact (CV)],MATCH(CoreValuesResults[[#This Row],[Team '#]],RobotDesignResults[Team '#],0))</f>
        <v/>
      </c>
      <c r="M9" s="71">
        <f>INDEX(RobotDesignResults[Communicate - Fun (CV)],MATCH(CoreValuesResults[[#This Row],[Team '#]],RobotDesignResults[Team '#],0))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68850</v>
      </c>
      <c r="B10" s="104">
        <f>INDEX(OfficialTeamList[Pod Number],MATCH(CoreValuesResults[[#This Row],[Team '#]], OfficialTeamList[Team '#],0))</f>
        <v/>
      </c>
      <c r="C10" s="107">
        <f>INDEX(OfficialTeamList[Team Name],MATCH(CoreValuesResults[[#This Row],[Team '#]], OfficialTeamList[Team '#],0))</f>
        <v/>
      </c>
      <c r="D10" s="71">
        <f>INDEX(InnovationProjectResults[Identify - Research (CV)],MATCH(CoreValuesResults[[#This Row],[Team '#]],InnovationProjectResults[Team '#],0))</f>
        <v/>
      </c>
      <c r="E10" s="71">
        <f>INDEX(InnovationProjectResults[Design - Teamwork (CV)],MATCH(CoreValuesResults[[#This Row],[Team '#]],InnovationProjectResults[Team '#],0))</f>
        <v/>
      </c>
      <c r="F10" s="71">
        <f>INDEX(InnovationProjectResults[Create - Innovation (CV)],MATCH(CoreValuesResults[[#This Row],[Team '#]],InnovationProjectResults[Team '#],0))</f>
        <v/>
      </c>
      <c r="G10" s="71">
        <f>INDEX(InnovationProjectResults[Communicate - Impact (CV)],MATCH(CoreValuesResults[[#This Row],[Team '#]],InnovationProjectResults[Team '#],0))</f>
        <v/>
      </c>
      <c r="H10" s="71">
        <f>INDEX(InnovationProjectResults[Communicate - Fun (CV)],MATCH(CoreValuesResults[[#This Row],[Team '#]],InnovationProjectResults[Team '#],0))</f>
        <v/>
      </c>
      <c r="I10" s="71">
        <f>INDEX(RobotDesignResults[Identify - Research (CV)],MATCH(CoreValuesResults[[#This Row],[Team '#]],RobotDesignResults[Team '#],0))</f>
        <v/>
      </c>
      <c r="J10" s="71">
        <f>INDEX(RobotDesignResults[Design - Ideas (CV)],MATCH(CoreValuesResults[[#This Row],[Team '#]],RobotDesignResults[Team '#],0))</f>
        <v/>
      </c>
      <c r="K10" s="71">
        <f>INDEX(RobotDesignResults[Iterate - Improvements (CV)],MATCH(CoreValuesResults[[#This Row],[Team '#]],RobotDesignResults[Team '#],0))</f>
        <v/>
      </c>
      <c r="L10" s="71">
        <f>INDEX(RobotDesignResults[Communicate - Impact (CV)],MATCH(CoreValuesResults[[#This Row],[Team '#]],RobotDesignResults[Team '#],0))</f>
        <v/>
      </c>
      <c r="M10" s="71">
        <f>INDEX(RobotDesignResults[Communicate - Fun (CV)],MATCH(CoreValuesResults[[#This Row],[Team '#]],RobotDesignResults[Team '#],0))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71673</v>
      </c>
      <c r="B11" s="104">
        <f>INDEX(OfficialTeamList[Pod Number],MATCH(CoreValuesResults[[#This Row],[Team '#]], OfficialTeamList[Team '#],0))</f>
        <v/>
      </c>
      <c r="C11" s="107">
        <f>INDEX(OfficialTeamList[Team Name],MATCH(CoreValuesResults[[#This Row],[Team '#]], OfficialTeamList[Team '#],0))</f>
        <v/>
      </c>
      <c r="D11" s="71">
        <f>INDEX(InnovationProjectResults[Identify - Research (CV)],MATCH(CoreValuesResults[[#This Row],[Team '#]],InnovationProjectResults[Team '#],0))</f>
        <v/>
      </c>
      <c r="E11" s="71">
        <f>INDEX(InnovationProjectResults[Design - Teamwork (CV)],MATCH(CoreValuesResults[[#This Row],[Team '#]],InnovationProjectResults[Team '#],0))</f>
        <v/>
      </c>
      <c r="F11" s="71">
        <f>INDEX(InnovationProjectResults[Create - Innovation (CV)],MATCH(CoreValuesResults[[#This Row],[Team '#]],InnovationProjectResults[Team '#],0))</f>
        <v/>
      </c>
      <c r="G11" s="71">
        <f>INDEX(InnovationProjectResults[Communicate - Impact (CV)],MATCH(CoreValuesResults[[#This Row],[Team '#]],InnovationProjectResults[Team '#],0))</f>
        <v/>
      </c>
      <c r="H11" s="71">
        <f>INDEX(InnovationProjectResults[Communicate - Fun (CV)],MATCH(CoreValuesResults[[#This Row],[Team '#]],InnovationProjectResults[Team '#],0))</f>
        <v/>
      </c>
      <c r="I11" s="71">
        <f>INDEX(RobotDesignResults[Identify - Research (CV)],MATCH(CoreValuesResults[[#This Row],[Team '#]],RobotDesignResults[Team '#],0))</f>
        <v/>
      </c>
      <c r="J11" s="71">
        <f>INDEX(RobotDesignResults[Design - Ideas (CV)],MATCH(CoreValuesResults[[#This Row],[Team '#]],RobotDesignResults[Team '#],0))</f>
        <v/>
      </c>
      <c r="K11" s="71">
        <f>INDEX(RobotDesignResults[Iterate - Improvements (CV)],MATCH(CoreValuesResults[[#This Row],[Team '#]],RobotDesignResults[Team '#],0))</f>
        <v/>
      </c>
      <c r="L11" s="71">
        <f>INDEX(RobotDesignResults[Communicate - Impact (CV)],MATCH(CoreValuesResults[[#This Row],[Team '#]],RobotDesignResults[Team '#],0))</f>
        <v/>
      </c>
      <c r="M11" s="71">
        <f>INDEX(RobotDesignResults[Communicate - Fun (CV)],MATCH(CoreValuesResults[[#This Row],[Team '#]],RobotDesignResults[Team '#],0))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73002</v>
      </c>
      <c r="B12" s="104">
        <f>INDEX(OfficialTeamList[Pod Number],MATCH(CoreValuesResults[[#This Row],[Team '#]], OfficialTeamList[Team '#],0))</f>
        <v/>
      </c>
      <c r="C12" s="107">
        <f>INDEX(OfficialTeamList[Team Name],MATCH(CoreValuesResults[[#This Row],[Team '#]], OfficialTeamList[Team '#],0))</f>
        <v/>
      </c>
      <c r="D12" s="71">
        <f>INDEX(InnovationProjectResults[Identify - Research (CV)],MATCH(CoreValuesResults[[#This Row],[Team '#]],InnovationProjectResults[Team '#],0))</f>
        <v/>
      </c>
      <c r="E12" s="71">
        <f>INDEX(InnovationProjectResults[Design - Teamwork (CV)],MATCH(CoreValuesResults[[#This Row],[Team '#]],InnovationProjectResults[Team '#],0))</f>
        <v/>
      </c>
      <c r="F12" s="71">
        <f>INDEX(InnovationProjectResults[Create - Innovation (CV)],MATCH(CoreValuesResults[[#This Row],[Team '#]],InnovationProjectResults[Team '#],0))</f>
        <v/>
      </c>
      <c r="G12" s="71">
        <f>INDEX(InnovationProjectResults[Communicate - Impact (CV)],MATCH(CoreValuesResults[[#This Row],[Team '#]],InnovationProjectResults[Team '#],0))</f>
        <v/>
      </c>
      <c r="H12" s="71">
        <f>INDEX(InnovationProjectResults[Communicate - Fun (CV)],MATCH(CoreValuesResults[[#This Row],[Team '#]],InnovationProjectResults[Team '#],0))</f>
        <v/>
      </c>
      <c r="I12" s="71">
        <f>INDEX(RobotDesignResults[Identify - Research (CV)],MATCH(CoreValuesResults[[#This Row],[Team '#]],RobotDesignResults[Team '#],0))</f>
        <v/>
      </c>
      <c r="J12" s="71">
        <f>INDEX(RobotDesignResults[Design - Ideas (CV)],MATCH(CoreValuesResults[[#This Row],[Team '#]],RobotDesignResults[Team '#],0))</f>
        <v/>
      </c>
      <c r="K12" s="71">
        <f>INDEX(RobotDesignResults[Iterate - Improvements (CV)],MATCH(CoreValuesResults[[#This Row],[Team '#]],RobotDesignResults[Team '#],0))</f>
        <v/>
      </c>
      <c r="L12" s="71">
        <f>INDEX(RobotDesignResults[Communicate - Impact (CV)],MATCH(CoreValuesResults[[#This Row],[Team '#]],RobotDesignResults[Team '#],0))</f>
        <v/>
      </c>
      <c r="M12" s="71">
        <f>INDEX(RobotDesignResults[Communicate - Fun (CV)],MATCH(CoreValuesResults[[#This Row],[Team '#]],RobotDesignResults[Team '#],0))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73106</v>
      </c>
      <c r="B13" s="104">
        <f>INDEX(OfficialTeamList[Pod Number],MATCH(CoreValuesResults[[#This Row],[Team '#]], OfficialTeamList[Team '#],0))</f>
        <v/>
      </c>
      <c r="C13" s="107">
        <f>INDEX(OfficialTeamList[Team Name],MATCH(CoreValuesResults[[#This Row],[Team '#]], OfficialTeamList[Team '#],0))</f>
        <v/>
      </c>
      <c r="D13" s="71">
        <f>INDEX(InnovationProjectResults[Identify - Research (CV)],MATCH(CoreValuesResults[[#This Row],[Team '#]],InnovationProjectResults[Team '#],0))</f>
        <v/>
      </c>
      <c r="E13" s="71">
        <f>INDEX(InnovationProjectResults[Design - Teamwork (CV)],MATCH(CoreValuesResults[[#This Row],[Team '#]],InnovationProjectResults[Team '#],0))</f>
        <v/>
      </c>
      <c r="F13" s="71">
        <f>INDEX(InnovationProjectResults[Create - Innovation (CV)],MATCH(CoreValuesResults[[#This Row],[Team '#]],InnovationProjectResults[Team '#],0))</f>
        <v/>
      </c>
      <c r="G13" s="71">
        <f>INDEX(InnovationProjectResults[Communicate - Impact (CV)],MATCH(CoreValuesResults[[#This Row],[Team '#]],InnovationProjectResults[Team '#],0))</f>
        <v/>
      </c>
      <c r="H13" s="71">
        <f>INDEX(InnovationProjectResults[Communicate - Fun (CV)],MATCH(CoreValuesResults[[#This Row],[Team '#]],InnovationProjectResults[Team '#],0))</f>
        <v/>
      </c>
      <c r="I13" s="71">
        <f>INDEX(RobotDesignResults[Identify - Research (CV)],MATCH(CoreValuesResults[[#This Row],[Team '#]],RobotDesignResults[Team '#],0))</f>
        <v/>
      </c>
      <c r="J13" s="71">
        <f>INDEX(RobotDesignResults[Design - Ideas (CV)],MATCH(CoreValuesResults[[#This Row],[Team '#]],RobotDesignResults[Team '#],0))</f>
        <v/>
      </c>
      <c r="K13" s="71">
        <f>INDEX(RobotDesignResults[Iterate - Improvements (CV)],MATCH(CoreValuesResults[[#This Row],[Team '#]],RobotDesignResults[Team '#],0))</f>
        <v/>
      </c>
      <c r="L13" s="71">
        <f>INDEX(RobotDesignResults[Communicate - Impact (CV)],MATCH(CoreValuesResults[[#This Row],[Team '#]],RobotDesignResults[Team '#],0))</f>
        <v/>
      </c>
      <c r="M13" s="71">
        <f>INDEX(RobotDesignResults[Communicate - Fun (CV)],MATCH(CoreValuesResults[[#This Row],[Team '#]],RobotDesignResults[Team '#],0))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'#],0))),NumberOfTeams+1,INDEX(TournamentData[Champion''s Rank],MATCH(ChampionsDelib[[#This Row],[Team Number]],TournamentData[Team '#],0)))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'#],0))),NumberOfTeams+1,INDEX(TournamentData[Champion''s Rank],MATCH(RobotGameDelib[[#This Row],[Team Number]],TournamentData[Team '#],0)))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'#],0))),NumberOfTeams+1,INDEX(TournamentData[Champion''s Rank],MATCH(ChampionsDelib[[#This Row],[Team Number]],TournamentData[Team '#],0)))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'#],0))),NumberOfTeams+1,INDEX(TournamentData[Champion''s Rank],MATCH(RobotGameDelib[[#This Row],[Team Number]],TournamentData[Team '#],0)))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'#],0))),NumberOfTeams+1,INDEX(TournamentData[Champion''s Rank],MATCH(ChampionsDelib[[#This Row],[Team Number]],TournamentData[Team '#],0)))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'#],0))),NumberOfTeams+1,INDEX(TournamentData[Champion''s Rank],MATCH(RobotGameDelib[[#This Row],[Team Number]],TournamentData[Team '#],0)))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'#],0))),NumberOfTeams+1,INDEX(TournamentData[Champion''s Rank],MATCH(ChampionsDelib[[#This Row],[Team Number]],TournamentData[Team '#],0)))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'#],0))),NumberOfTeams+1,INDEX(TournamentData[Champion''s Rank],MATCH(RobotGameDelib[[#This Row],[Team Number]],TournamentData[Team '#],0)))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'#],0))),NumberOfTeams+1,INDEX(TournamentData[Champion''s Rank],MATCH(ChampionsDelib[[#This Row],[Team Number]],TournamentData[Team '#],0)))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'#],0))),NumberOfTeams+1,INDEX(TournamentData[Champion''s Rank],MATCH(RobotGameDelib[[#This Row],[Team Number]],TournamentData[Team '#],0)))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'#],0))),NumberOfTeams+1,INDEX(TournamentData[Champion''s Rank],MATCH(ChampionsDelib[[#This Row],[Team Number]],TournamentData[Team '#],0)))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'#],0))),NumberOfTeams+1,INDEX(TournamentData[Champion''s Rank],MATCH(RobotGameDelib[[#This Row],[Team Number]],TournamentData[Team '#],0)))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'#],0))),NumberOfTeams+1,INDEX(TournamentData[Champion''s Rank],MATCH(ChampionsDelib[[#This Row],[Team Number]],TournamentData[Team '#],0)))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'#],0))),NumberOfTeams+1,INDEX(TournamentData[Champion''s Rank],MATCH(RobotGameDelib[[#This Row],[Team Number]],TournamentData[Team '#],0)))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'#],0))),NumberOfTeams+1,INDEX(TournamentData[Champion''s Rank],MATCH(ChampionsDelib[[#This Row],[Team Number]],TournamentData[Team '#],0)))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'#],0))),NumberOfTeams+1,INDEX(TournamentData[Champion''s Rank],MATCH(RobotGameDelib[[#This Row],[Team Number]],TournamentData[Team '#],0)))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'#],0))),NumberOfTeams+1,INDEX(TournamentData[Champion''s Rank],MATCH(ChampionsDelib[[#This Row],[Team Number]],TournamentData[Team '#],0)))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'#],0))),NumberOfTeams+1,INDEX(TournamentData[Champion''s Rank],MATCH(RobotGameDelib[[#This Row],[Team Number]],TournamentData[Team '#],0)))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'#],0))),NumberOfTeams+1,INDEX(TournamentData[Champion''s Rank],MATCH(ChampionsDelib[[#This Row],[Team Number]],TournamentData[Team '#],0)))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'#],0))),NumberOfTeams+1,INDEX(TournamentData[Champion''s Rank],MATCH(RobotGameDelib[[#This Row],[Team Number]],TournamentData[Team '#],0)))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'#],0))),NumberOfTeams+1,INDEX(TournamentData[Champion''s Rank],MATCH(ChampionsDelib[[#This Row],[Team Number]],TournamentData[Team '#],0)))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'#],0))),NumberOfTeams+1,INDEX(TournamentData[Champion''s Rank],MATCH(RobotGameDelib[[#This Row],[Team Number]],TournamentData[Team '#],0)))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'#],0))),NumberOfTeams+1,INDEX(TournamentData[Champion''s Rank],MATCH(ChampionsDelib[[#This Row],[Team Number]],TournamentData[Team '#],0)))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'#],0))),NumberOfTeams+1,INDEX(TournamentData[Champion''s Rank],MATCH(RobotGameDelib[[#This Row],[Team Number]],TournamentData[Team '#],0)))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'#],0))),NumberOfTeams+1,INDEX(TournamentData[Champion''s Rank],MATCH(ChampionsDelib[[#This Row],[Team Number]],TournamentData[Team '#],0)))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'#],0))),NumberOfTeams+1,INDEX(TournamentData[Champion''s Rank],MATCH(RobotGameDelib[[#This Row],[Team Number]],TournamentData[Team '#],0)))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'#],0))),NumberOfTeams+1,INDEX(TournamentData[Champion''s Rank],MATCH(ChampionsDelib[[#This Row],[Team Number]],TournamentData[Team '#],0)))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'#],0))),NumberOfTeams+1,INDEX(TournamentData[Champion''s Rank],MATCH(RobotGameDelib[[#This Row],[Team Number]],TournamentData[Team '#],0)))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'#],0))),NumberOfTeams+1,INDEX(TournamentData[Champion''s Rank],MATCH(ChampionsDelib[[#This Row],[Team Number]],TournamentData[Team '#],0)))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'#],0))),NumberOfTeams+1,INDEX(TournamentData[Champion''s Rank],MATCH(RobotGameDelib[[#This Row],[Team Number]],TournamentData[Team '#],0)))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'#],0))),NumberOfTeams+1,INDEX(CoreValuesResults[Core Values Rank],MATCH(CoreValuesDelib[[#This Row],[Team Number]],CoreValuesResults[Team '#],0)))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'#],0))),NumberOfTeams+1,INDEX(RobotDesignResults[Robot Design Rank],MATCH(RobotDesignDelib[[#This Row],[Team Number]],RobotDesignResults[Team '#],0)))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'#],0))),NumberOfTeams+1,INDEX(CoreValuesResults[Core Values Rank],MATCH(CoreValuesDelib[[#This Row],[Team Number]],CoreValuesResults[Team '#],0)))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'#],0))),NumberOfTeams+1,INDEX(RobotDesignResults[Robot Design Rank],MATCH(RobotDesignDelib[[#This Row],[Team Number]],RobotDesignResults[Team '#],0)))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'#],0))),NumberOfTeams+1,INDEX(CoreValuesResults[Core Values Rank],MATCH(CoreValuesDelib[[#This Row],[Team Number]],CoreValuesResults[Team '#],0)))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'#],0))),NumberOfTeams+1,INDEX(RobotDesignResults[Robot Design Rank],MATCH(RobotDesignDelib[[#This Row],[Team Number]],RobotDesignResults[Team '#],0)))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'#],0))),NumberOfTeams+1,INDEX(CoreValuesResults[Core Values Rank],MATCH(CoreValuesDelib[[#This Row],[Team Number]],CoreValuesResults[Team '#],0)))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'#],0))),NumberOfTeams+1,INDEX(RobotDesignResults[Robot Design Rank],MATCH(RobotDesignDelib[[#This Row],[Team Number]],RobotDesignResults[Team '#],0)))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'#],0))),NumberOfTeams+1,INDEX(CoreValuesResults[Core Values Rank],MATCH(CoreValuesDelib[[#This Row],[Team Number]],CoreValuesResults[Team '#],0)))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'#],0))),NumberOfTeams+1,INDEX(RobotDesignResults[Robot Design Rank],MATCH(RobotDesignDelib[[#This Row],[Team Number]],RobotDesignResults[Team '#],0)))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'#],0))),NumberOfTeams+1,INDEX(CoreValuesResults[Core Values Rank],MATCH(CoreValuesDelib[[#This Row],[Team Number]],CoreValuesResults[Team '#],0)))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'#],0))),NumberOfTeams+1,INDEX(RobotDesignResults[Robot Design Rank],MATCH(RobotDesignDelib[[#This Row],[Team Number]],RobotDesignResults[Team '#],0)))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'#],0))),NumberOfTeams+1,INDEX(CoreValuesResults[Core Values Rank],MATCH(CoreValuesDelib[[#This Row],[Team Number]],CoreValuesResults[Team '#],0)))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'#],0))),NumberOfTeams+1,INDEX(RobotDesignResults[Robot Design Rank],MATCH(RobotDesignDelib[[#This Row],[Team Number]],RobotDesignResults[Team '#],0)))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'#],0))),NumberOfTeams+1,INDEX(CoreValuesResults[Core Values Rank],MATCH(CoreValuesDelib[[#This Row],[Team Number]],CoreValuesResults[Team '#],0)))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'#],0))),NumberOfTeams+1,INDEX(RobotDesignResults[Robot Design Rank],MATCH(RobotDesignDelib[[#This Row],[Team Number]],RobotDesignResults[Team '#],0)))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'#],0))),NumberOfTeams+1,INDEX(CoreValuesResults[Core Values Rank],MATCH(CoreValuesDelib[[#This Row],[Team Number]],CoreValuesResults[Team '#],0)))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'#],0))),NumberOfTeams+1,INDEX(RobotDesignResults[Robot Design Rank],MATCH(RobotDesignDelib[[#This Row],[Team Number]],RobotDesignResults[Team '#],0)))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'#],0))),NumberOfTeams+1,INDEX(CoreValuesResults[Core Values Rank],MATCH(CoreValuesDelib[[#This Row],[Team Number]],CoreValuesResults[Team '#],0)))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'#],0))),NumberOfTeams+1,INDEX(RobotDesignResults[Robot Design Rank],MATCH(RobotDesignDelib[[#This Row],[Team Number]],RobotDesignResults[Team '#],0)))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'#],0))),NumberOfTeams+1,INDEX(CoreValuesResults[Core Values Rank],MATCH(CoreValuesDelib[[#This Row],[Team Number]],CoreValuesResults[Team '#],0)))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'#],0))),NumberOfTeams+1,INDEX(RobotDesignResults[Robot Design Rank],MATCH(RobotDesignDelib[[#This Row],[Team Number]],RobotDesignResults[Team '#],0)))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'#],0))),NumberOfTeams+1,INDEX(CoreValuesResults[Core Values Rank],MATCH(CoreValuesDelib[[#This Row],[Team Number]],CoreValuesResults[Team '#],0)))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'#],0))),NumberOfTeams+1,INDEX(RobotDesignResults[Robot Design Rank],MATCH(RobotDesignDelib[[#This Row],[Team Number]],RobotDesignResults[Team '#],0)))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'#],0))),NumberOfTeams+1,INDEX(CoreValuesResults[Core Values Rank],MATCH(CoreValuesDelib[[#This Row],[Team Number]],CoreValuesResults[Team '#],0)))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'#],0))),NumberOfTeams+1,INDEX(RobotDesignResults[Robot Design Rank],MATCH(RobotDesignDelib[[#This Row],[Team Number]],RobotDesignResults[Team '#],0)))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'#],0))),NumberOfTeams+1,INDEX(CoreValuesResults[Core Values Rank],MATCH(CoreValuesDelib[[#This Row],[Team Number]],CoreValuesResults[Team '#],0)))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'#],0))),NumberOfTeams+1,INDEX(RobotDesignResults[Robot Design Rank],MATCH(RobotDesignDelib[[#This Row],[Team Number]],RobotDesignResults[Team '#],0)))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'#],0))),NumberOfTeams+1,INDEX(CoreValuesResults[Core Values Rank],MATCH(CoreValuesDelib[[#This Row],[Team Number]],CoreValuesResults[Team '#],0)))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'#],0))),NumberOfTeams+1,INDEX(RobotDesignResults[Robot Design Rank],MATCH(RobotDesignDelib[[#This Row],[Team Number]],RobotDesignResults[Team '#],0)))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'#],0))),NumberOfTeams+1,INDEX(TournamentData[Champion''s Rank],MATCH(BreakthroughDelib[[#This Row],[Team Number]],TournamentData[Team '#],0)))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'#],0))),NumberOfTeams+1,INDEX(TournamentData[Champion''s Rank],MATCH(RookiAllStarDelib[[#This Row],[Team Number]],TournamentData[Team '#],0)))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'#],0))),NumberOfTeams+1,INDEX(TournamentData[Champion''s Rank],MATCH(MotivateDelib[[#This Row],[Team Number]],TournamentData[Team '#],0)))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'#],0))),NumberOfTeams+1,INDEX(TournamentData[Champion''s Rank],MATCH(BreakthroughDelib[[#This Row],[Team Number]],TournamentData[Team '#],0)))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'#],0))),NumberOfTeams+1,INDEX(TournamentData[Champion''s Rank],MATCH(RookiAllStarDelib[[#This Row],[Team Number]],TournamentData[Team '#],0)))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'#],0))),NumberOfTeams+1,INDEX(TournamentData[Champion''s Rank],MATCH(MotivateDelib[[#This Row],[Team Number]],TournamentData[Team '#],0)))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'#],0))),NumberOfTeams+1,INDEX(TournamentData[Champion''s Rank],MATCH(BreakthroughDelib[[#This Row],[Team Number]],TournamentData[Team '#],0)))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'#],0))),NumberOfTeams+1,INDEX(TournamentData[Champion''s Rank],MATCH(RookiAllStarDelib[[#This Row],[Team Number]],TournamentData[Team '#],0)))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'#],0))),NumberOfTeams+1,INDEX(TournamentData[Champion''s Rank],MATCH(MotivateDelib[[#This Row],[Team Number]],TournamentData[Team '#],0)))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'#],0))),NumberOfTeams+1,INDEX(TournamentData[Champion''s Rank],MATCH(BreakthroughDelib[[#This Row],[Team Number]],TournamentData[Team '#],0)))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'#],0))),NumberOfTeams+1,INDEX(TournamentData[Champion''s Rank],MATCH(RookiAllStarDelib[[#This Row],[Team Number]],TournamentData[Team '#],0)))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'#],0))),NumberOfTeams+1,INDEX(TournamentData[Champion''s Rank],MATCH(MotivateDelib[[#This Row],[Team Number]],TournamentData[Team '#],0)))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'#],0))),NumberOfTeams+1,INDEX(TournamentData[Champion''s Rank],MATCH(BreakthroughDelib[[#This Row],[Team Number]],TournamentData[Team '#],0)))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'#],0))),NumberOfTeams+1,INDEX(TournamentData[Champion''s Rank],MATCH(RookiAllStarDelib[[#This Row],[Team Number]],TournamentData[Team '#],0)))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'#],0))),NumberOfTeams+1,INDEX(TournamentData[Champion''s Rank],MATCH(MotivateDelib[[#This Row],[Team Number]],TournamentData[Team '#],0)))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'#],0))),NumberOfTeams+1,INDEX(TournamentData[Champion''s Rank],MATCH(BreakthroughDelib[[#This Row],[Team Number]],TournamentData[Team '#],0)))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'#],0))),NumberOfTeams+1,INDEX(TournamentData[Champion''s Rank],MATCH(RookiAllStarDelib[[#This Row],[Team Number]],TournamentData[Team '#],0)))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'#],0))),NumberOfTeams+1,INDEX(TournamentData[Champion''s Rank],MATCH(MotivateDelib[[#This Row],[Team Number]],TournamentData[Team '#],0)))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'#],0))),NumberOfTeams+1,INDEX(TournamentData[Champion''s Rank],MATCH(BreakthroughDelib[[#This Row],[Team Number]],TournamentData[Team '#],0)))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'#],0))),NumberOfTeams+1,INDEX(TournamentData[Champion''s Rank],MATCH(RookiAllStarDelib[[#This Row],[Team Number]],TournamentData[Team '#],0)))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'#],0))),NumberOfTeams+1,INDEX(TournamentData[Champion''s Rank],MATCH(MotivateDelib[[#This Row],[Team Number]],TournamentData[Team '#],0)))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'#],0))),NumberOfTeams+1,INDEX(TournamentData[Champion''s Rank],MATCH(BreakthroughDelib[[#This Row],[Team Number]],TournamentData[Team '#],0)))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'#],0))),NumberOfTeams+1,INDEX(TournamentData[Champion''s Rank],MATCH(RookiAllStarDelib[[#This Row],[Team Number]],TournamentData[Team '#],0)))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'#],0))),NumberOfTeams+1,INDEX(TournamentData[Champion''s Rank],MATCH(MotivateDelib[[#This Row],[Team Number]],TournamentData[Team '#],0)))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'#],0))),NumberOfTeams+1,INDEX(TournamentData[Champion''s Rank],MATCH(BreakthroughDelib[[#This Row],[Team Number]],TournamentData[Team '#],0)))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'#],0))),NumberOfTeams+1,INDEX(TournamentData[Champion''s Rank],MATCH(RookiAllStarDelib[[#This Row],[Team Number]],TournamentData[Team '#],0)))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'#],0))),NumberOfTeams+1,INDEX(TournamentData[Champion''s Rank],MATCH(MotivateDelib[[#This Row],[Team Number]],TournamentData[Team '#],0)))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'#],0))),NumberOfTeams+1,INDEX(TournamentData[Champion''s Rank],MATCH(BreakthroughDelib[[#This Row],[Team Number]],TournamentData[Team '#],0)))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'#],0))),NumberOfTeams+1,INDEX(TournamentData[Champion''s Rank],MATCH(RookiAllStarDelib[[#This Row],[Team Number]],TournamentData[Team '#],0)))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'#],0))),NumberOfTeams+1,INDEX(TournamentData[Champion''s Rank],MATCH(MotivateDelib[[#This Row],[Team Number]],TournamentData[Team '#],0)))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'#],0))),NumberOfTeams+1,INDEX(TournamentData[Champion''s Rank],MATCH(BreakthroughDelib[[#This Row],[Team Number]],TournamentData[Team '#],0)))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'#],0))),NumberOfTeams+1,INDEX(TournamentData[Champion''s Rank],MATCH(RookiAllStarDelib[[#This Row],[Team Number]],TournamentData[Team '#],0)))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'#],0))),NumberOfTeams+1,INDEX(TournamentData[Champion''s Rank],MATCH(MotivateDelib[[#This Row],[Team Number]],TournamentData[Team '#],0)))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'#],0))),NumberOfTeams+1,INDEX(TournamentData[Champion''s Rank],MATCH(BreakthroughDelib[[#This Row],[Team Number]],TournamentData[Team '#],0)))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'#],0))),NumberOfTeams+1,INDEX(TournamentData[Champion''s Rank],MATCH(RookiAllStarDelib[[#This Row],[Team Number]],TournamentData[Team '#],0)))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'#],0))),NumberOfTeams+1,INDEX(TournamentData[Champion''s Rank],MATCH(MotivateDelib[[#This Row],[Team Number]],TournamentData[Team '#],0)))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'#],0))),NumberOfTeams+1,INDEX(TournamentData[Champion''s Rank],MATCH(BreakthroughDelib[[#This Row],[Team Number]],TournamentData[Team '#],0)))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'#],0))),NumberOfTeams+1,INDEX(TournamentData[Champion''s Rank],MATCH(RookiAllStarDelib[[#This Row],[Team Number]],TournamentData[Team '#],0)))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'#],0))),NumberOfTeams+1,INDEX(TournamentData[Champion''s Rank],MATCH(MotivateDelib[[#This Row],[Team Number]],TournamentData[Team '#],0)))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'#],0))),NumberOfTeams+1,INDEX(TournamentData[Champion''s Rank],MATCH(BreakthroughDelib[[#This Row],[Team Number]],TournamentData[Team '#],0)))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'#],0))),NumberOfTeams+1,INDEX(TournamentData[Champion''s Rank],MATCH(RookiAllStarDelib[[#This Row],[Team Number]],TournamentData[Team '#],0)))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'#],0))),NumberOfTeams+1,INDEX(TournamentData[Champion''s Rank],MATCH(MotivateDelib[[#This Row],[Team Number]],TournamentData[Team '#],0)))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'#],0))),NumberOfTeams+1,INDEX(TournamentData[Champion''s Rank],MATCH(BreakthroughDelib[[#This Row],[Team Number]],TournamentData[Team '#],0)))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'#],0))),NumberOfTeams+1,INDEX(TournamentData[Champion''s Rank],MATCH(RookiAllStarDelib[[#This Row],[Team Number]],TournamentData[Team '#],0)))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'#],0))),NumberOfTeams+1,INDEX(TournamentData[Champion''s Rank],MATCH(MotivateDelib[[#This Row],[Team Number]],TournamentData[Team '#],0)))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2025-12-27T11:54:40Z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