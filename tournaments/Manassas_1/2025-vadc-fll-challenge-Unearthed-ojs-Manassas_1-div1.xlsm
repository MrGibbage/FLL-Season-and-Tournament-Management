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26"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7"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26"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25"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25"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25"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25"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26"/>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2392</v>
      </c>
      <c r="B3" s="68" t="inlineStr">
        <is>
          <t>The Tigers</t>
        </is>
      </c>
      <c r="C3" s="68" t="inlineStr">
        <is>
          <t>Kevin Weaver</t>
        </is>
      </c>
      <c r="D3" s="69" t="n">
        <v>0</v>
      </c>
      <c r="H3" s="3" t="n"/>
    </row>
    <row r="4">
      <c r="A4" t="n">
        <v>10157</v>
      </c>
      <c r="B4" t="inlineStr">
        <is>
          <t>Hackers</t>
        </is>
      </c>
      <c r="C4" t="inlineStr">
        <is>
          <t>Rina Stapp</t>
        </is>
      </c>
      <c r="D4" t="n">
        <v>0</v>
      </c>
    </row>
    <row r="5">
      <c r="A5" t="n">
        <v>10159</v>
      </c>
      <c r="B5" t="inlineStr">
        <is>
          <t>Enchanting Potatoes</t>
        </is>
      </c>
      <c r="C5" t="inlineStr">
        <is>
          <t>Rina Stapp</t>
        </is>
      </c>
      <c r="D5" t="n">
        <v>0</v>
      </c>
    </row>
    <row r="6">
      <c r="A6" t="n">
        <v>10321</v>
      </c>
      <c r="B6" t="inlineStr">
        <is>
          <t>Victory Robotics</t>
        </is>
      </c>
      <c r="C6" t="inlineStr">
        <is>
          <t>Joy Moller</t>
        </is>
      </c>
      <c r="D6" t="n">
        <v>0</v>
      </c>
    </row>
    <row r="7">
      <c r="A7" t="n">
        <v>12734</v>
      </c>
      <c r="B7" t="inlineStr">
        <is>
          <t>Robotic Cheetahs</t>
        </is>
      </c>
      <c r="C7" t="inlineStr">
        <is>
          <t>Billee Bennett</t>
        </is>
      </c>
      <c r="D7" t="n">
        <v>0</v>
      </c>
    </row>
    <row r="8">
      <c r="A8" t="n">
        <v>27239</v>
      </c>
      <c r="B8" t="inlineStr">
        <is>
          <t>The 8 Stars</t>
        </is>
      </c>
      <c r="C8" t="inlineStr">
        <is>
          <t>Jennifer Roberts</t>
        </is>
      </c>
      <c r="D8" t="n">
        <v>0</v>
      </c>
    </row>
    <row r="9">
      <c r="A9" t="n">
        <v>31289</v>
      </c>
      <c r="B9" t="inlineStr">
        <is>
          <t>Marshall Eaglebots 1</t>
        </is>
      </c>
      <c r="C9" t="inlineStr">
        <is>
          <t>Nicholas Simonetti</t>
        </is>
      </c>
      <c r="D9" t="n">
        <v>0</v>
      </c>
    </row>
    <row r="10">
      <c r="A10" t="n">
        <v>34066</v>
      </c>
      <c r="B10" t="inlineStr">
        <is>
          <t>Nokesville Tigers</t>
        </is>
      </c>
      <c r="C10" t="inlineStr">
        <is>
          <t>Marian  Mohler</t>
        </is>
      </c>
      <c r="D10" t="n">
        <v>0</v>
      </c>
    </row>
    <row r="11">
      <c r="A11" t="n">
        <v>35580</v>
      </c>
      <c r="B11" t="inlineStr">
        <is>
          <t>Mythical Genius Eagles</t>
        </is>
      </c>
      <c r="C11" t="inlineStr">
        <is>
          <t>Tiffany Blose</t>
        </is>
      </c>
      <c r="D11" t="n">
        <v>0</v>
      </c>
    </row>
    <row r="12">
      <c r="A12" t="n">
        <v>37711</v>
      </c>
      <c r="B12" t="inlineStr">
        <is>
          <t>Mini Jackets</t>
        </is>
      </c>
      <c r="C12" t="inlineStr">
        <is>
          <t>Denyse Carroll</t>
        </is>
      </c>
      <c r="D12" t="n">
        <v>0</v>
      </c>
    </row>
    <row r="13">
      <c r="A13" t="n">
        <v>39343</v>
      </c>
      <c r="B13" t="inlineStr">
        <is>
          <t>Marshall Eaglebots 2</t>
        </is>
      </c>
      <c r="C13" t="inlineStr">
        <is>
          <t>Nicholas Simonetti</t>
        </is>
      </c>
      <c r="D13" t="n">
        <v>0</v>
      </c>
    </row>
    <row r="14">
      <c r="A14" t="n">
        <v>48747</v>
      </c>
      <c r="B14" t="inlineStr">
        <is>
          <t>The Robydos</t>
        </is>
      </c>
      <c r="C14" t="inlineStr">
        <is>
          <t>Robert Thomas</t>
        </is>
      </c>
      <c r="D14" t="n">
        <v>0</v>
      </c>
    </row>
    <row r="15">
      <c r="A15" t="n">
        <v>53752</v>
      </c>
      <c r="B15" t="inlineStr">
        <is>
          <t>MPES Crew</t>
        </is>
      </c>
      <c r="C15" t="inlineStr">
        <is>
          <t>MaKenzie Bissler</t>
        </is>
      </c>
      <c r="D15" t="n">
        <v>0</v>
      </c>
    </row>
    <row r="16">
      <c r="A16" t="n">
        <v>53753</v>
      </c>
      <c r="B16" t="inlineStr">
        <is>
          <t>Desert Cougars</t>
        </is>
      </c>
      <c r="C16" t="inlineStr">
        <is>
          <t>MaKenzie Bissler</t>
        </is>
      </c>
      <c r="D16" t="n">
        <v>0</v>
      </c>
    </row>
    <row r="17">
      <c r="A17" t="n">
        <v>53754</v>
      </c>
      <c r="B17" t="inlineStr">
        <is>
          <t>Tech Titans</t>
        </is>
      </c>
      <c r="C17" t="inlineStr">
        <is>
          <t>MaKenzie Bissler</t>
        </is>
      </c>
      <c r="D17" t="n">
        <v>0</v>
      </c>
    </row>
    <row r="18">
      <c r="A18" t="n">
        <v>53755</v>
      </c>
      <c r="B18" t="inlineStr">
        <is>
          <t>Triple A Batteries</t>
        </is>
      </c>
      <c r="C18" t="inlineStr">
        <is>
          <t>MaKenzie Bissler</t>
        </is>
      </c>
      <c r="D18" t="n">
        <v>0</v>
      </c>
    </row>
    <row r="19">
      <c r="A19" t="n">
        <v>60140</v>
      </c>
      <c r="B19" t="inlineStr">
        <is>
          <t>The Fried Eggs</t>
        </is>
      </c>
      <c r="C19" t="inlineStr">
        <is>
          <t>Melonie Yielding</t>
        </is>
      </c>
      <c r="D19" t="n">
        <v>0</v>
      </c>
    </row>
    <row r="20">
      <c r="A20" t="n">
        <v>60906</v>
      </c>
      <c r="B20" t="inlineStr">
        <is>
          <t>The Waffles</t>
        </is>
      </c>
      <c r="C20" t="inlineStr">
        <is>
          <t>Jennifer Roberts</t>
        </is>
      </c>
      <c r="D20" t="n">
        <v>0</v>
      </c>
    </row>
    <row r="21">
      <c r="A21" t="n">
        <v>60907</v>
      </c>
      <c r="B21" t="inlineStr">
        <is>
          <t>Mechanical Cardinals</t>
        </is>
      </c>
      <c r="C21" t="inlineStr">
        <is>
          <t>Jennifer Roberts</t>
        </is>
      </c>
      <c r="D21" t="n">
        <v>0</v>
      </c>
    </row>
    <row r="22">
      <c r="A22" t="n">
        <v>61461</v>
      </c>
      <c r="B22" t="inlineStr">
        <is>
          <t>Mini Jackettes</t>
        </is>
      </c>
      <c r="C22" t="inlineStr">
        <is>
          <t>Denyse Carroll</t>
        </is>
      </c>
      <c r="D22" t="n">
        <v>0</v>
      </c>
    </row>
    <row r="23">
      <c r="A23" t="n">
        <v>67022</v>
      </c>
      <c r="B23" t="inlineStr">
        <is>
          <t>Roar Bots 13</t>
        </is>
      </c>
      <c r="C23" t="inlineStr">
        <is>
          <t>CAROLYN SANDOVAL</t>
        </is>
      </c>
      <c r="D23" t="n">
        <v>0</v>
      </c>
    </row>
    <row r="24">
      <c r="A24" t="n">
        <v>69306</v>
      </c>
      <c r="B24" t="inlineStr">
        <is>
          <t>The Ninja Turtles</t>
        </is>
      </c>
      <c r="C24" t="inlineStr">
        <is>
          <t>Kevin Weaver</t>
        </is>
      </c>
      <c r="D24" t="n">
        <v>0</v>
      </c>
    </row>
    <row r="25">
      <c r="A25" t="n">
        <v>72747</v>
      </c>
      <c r="B25" t="inlineStr">
        <is>
          <t>Roar Machine</t>
        </is>
      </c>
      <c r="C25" t="inlineStr">
        <is>
          <t>CAROLYN SANDOVAL</t>
        </is>
      </c>
      <c r="D25" t="n">
        <v>0</v>
      </c>
    </row>
    <row r="26">
      <c r="A26" t="n">
        <v>74225</v>
      </c>
      <c r="B26" t="inlineStr">
        <is>
          <t>Ketchup Mustard Conference</t>
        </is>
      </c>
      <c r="C26" t="inlineStr">
        <is>
          <t>Rina Stapp</t>
        </is>
      </c>
      <c r="D26"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Manassas_1</t>
        </is>
      </c>
    </row>
    <row r="5">
      <c r="A5" t="inlineStr">
        <is>
          <t>Tournament Long Name</t>
        </is>
      </c>
      <c r="B5" t="inlineStr">
        <is>
          <t>Manassas 1 2025 Unearthed Qualifier Tournament</t>
        </is>
      </c>
    </row>
    <row r="6">
      <c r="A6" t="inlineStr">
        <is>
          <t>Completed Script File</t>
        </is>
      </c>
      <c r="B6" t="inlineStr">
        <is>
          <t>c:\github-projects\OJS_Script_maker_NG\2025-all\tournaments\Manassas_1\closing_ceremony.html</t>
        </is>
      </c>
    </row>
    <row r="7">
      <c r="A7" t="inlineStr">
        <is>
          <t>Using Divisions</t>
        </is>
      </c>
      <c r="B7" t="b">
        <v>1</v>
      </c>
    </row>
    <row r="8">
      <c r="A8" t="inlineStr">
        <is>
          <t>Division</t>
        </is>
      </c>
      <c r="B8" t="inlineStr">
        <is>
          <t>D1</t>
        </is>
      </c>
    </row>
    <row r="9">
      <c r="A9" t="inlineStr">
        <is>
          <t>Advancing</t>
        </is>
      </c>
      <c r="B9" t="n">
        <v>7</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7"/>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c r="C4" t="inlineStr">
        <is>
          <t>Robot Game 3rd Place</t>
        </is>
      </c>
    </row>
    <row r="5">
      <c r="A5" t="inlineStr">
        <is>
          <t>Robot Design 2nd Place</t>
        </is>
      </c>
    </row>
    <row r="6">
      <c r="A6" t="inlineStr">
        <is>
          <t>Innovation Project 1st Place</t>
        </is>
      </c>
    </row>
    <row r="7">
      <c r="A7" t="inlineStr">
        <is>
          <t>Innovation Project 2nd Place</t>
        </is>
      </c>
    </row>
    <row r="8">
      <c r="A8" t="inlineStr">
        <is>
          <t>Core Values 1st Place</t>
        </is>
      </c>
    </row>
    <row r="9">
      <c r="A9" t="inlineStr">
        <is>
          <t>Core Values 2nd Place</t>
        </is>
      </c>
    </row>
    <row r="10">
      <c r="A10" t="inlineStr">
        <is>
          <t>Judges 1</t>
        </is>
      </c>
    </row>
    <row r="11">
      <c r="A11" t="inlineStr">
        <is>
          <t>Judges 2</t>
        </is>
      </c>
    </row>
    <row r="12">
      <c r="A12" t="inlineStr">
        <is>
          <t>Judges 3</t>
        </is>
      </c>
    </row>
    <row r="13">
      <c r="A13" t="inlineStr">
        <is>
          <t>Judges 4</t>
        </is>
      </c>
    </row>
    <row r="14">
      <c r="A14" t="inlineStr">
        <is>
          <t>Judges 5</t>
        </is>
      </c>
    </row>
    <row r="15">
      <c r="A15" t="inlineStr">
        <is>
          <t>Judges 6</t>
        </is>
      </c>
    </row>
    <row r="16">
      <c r="A16" t="inlineStr">
        <is>
          <t>Judges 7</t>
        </is>
      </c>
    </row>
    <row r="17">
      <c r="A17" t="inlineStr">
        <is>
          <t>Judges 8</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26"/>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2392</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10157</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10159</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10321</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12734</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27239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31289</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34066</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35580</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37711</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39343</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48747</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53752</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53753</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row r="17" ht="21" customHeight="1">
      <c r="A17" s="104" t="n">
        <v>53754</v>
      </c>
      <c r="B17" s="104">
        <f>INDEX(OfficialTeamList[Pod Number],MATCH(TournamentData[[#This Row],[Team Number]], OfficialTeamList[Team '#],0))</f>
        <v/>
      </c>
      <c r="C17" s="95">
        <f>INDEX(OfficialTeamList[Team Name],MATCH(TournamentData[[#This Row],[Team Number]], OfficialTeamList[Team '#],0))</f>
        <v/>
      </c>
      <c r="D17" s="73">
        <f>IF(TournamentData[[#This Row],[Team Number]]="","",IF(ISNA(INDEX('Robot Game Scores'!C:C,MATCH(TournamentData[[#This Row],[Team Number]], 'Robot Game Scores'!$A:$A,0))),0,INDEX('Robot Game Scores'!C:C,MATCH(TournamentData[[#This Row],[Team Number]], 'Robot Game Scores'!$A:$A,0))))</f>
        <v/>
      </c>
      <c r="E17" s="73">
        <f>IF(TournamentData[[#This Row],[Team Number]]="","",IF(ISNA(INDEX('Robot Game Scores'!D:D,MATCH(TournamentData[[#This Row],[Team Number]], 'Robot Game Scores'!$A:$A,0))),0,INDEX('Robot Game Scores'!D:D,MATCH(TournamentData[[#This Row],[Team Number]], 'Robot Game Scores'!$A:$A,0))))</f>
        <v/>
      </c>
      <c r="F17" s="73">
        <f>IF(TournamentData[[#This Row],[Team Number]]="","",IF(ISNA(INDEX('Robot Game Scores'!E:E,MATCH(TournamentData[[#This Row],[Team Number]], 'Robot Game Scores'!$A:$A,0))),0,INDEX('Robot Game Scores'!E:E,MATCH(TournamentData[[#This Row],[Team Number]], 'Robot Game Scores'!$A:$A,0))))</f>
        <v/>
      </c>
      <c r="G17" s="73">
        <f>IF(TournamentData[[#This Row],[Team Number]]="","",IF(ISNA(INDEX('Robot Game Scores'!#REF!,MATCH(TournamentData[[#This Row],[Team Number]], 'Robot Game Scores'!$A:$A,0))),0,INDEX('Robot Game Scores'!#REF!,MATCH(TournamentData[[#This Row],[Team Number]], 'Robot Game Scores'!$A:$A,0))))</f>
        <v/>
      </c>
      <c r="H17" s="73">
        <f>IF(TournamentData[[#This Row],[Team Number]]="","",IF(ISNA(INDEX('Robot Game Scores'!#REF!,MATCH(TournamentData[[#This Row],[Team Number]], 'Robot Game Scores'!$A:$A,0))),0,INDEX('Robot Game Scores'!#REF!,MATCH(TournamentData[[#This Row],[Team Number]], 'Robot Game Scores'!$A:$A,0))))</f>
        <v/>
      </c>
      <c r="I1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3">
        <f>_xlfn.RANK.EQ(TournamentData[[#This Row],[Max Robot Game Score]],TournamentData[Max Robot Game Score])</f>
        <v/>
      </c>
      <c r="K17" s="73">
        <f>INDEX(CoreValuesResults[Core Values Rank],MATCH(TournamentData[[#This Row],[Team Number]],CoreValuesResults[Team Number],0))</f>
        <v/>
      </c>
      <c r="L17" s="73">
        <f>INDEX(InnovationProjectResults[Innovation Project Rank],MATCH(TournamentData[[#This Row],[Team Number]],InnovationProjectResults[Team Number],0))</f>
        <v/>
      </c>
      <c r="M17" s="73">
        <f>INDEX(RobotDesignResults[Robot Design Rank],MATCH(TournamentData[[#This Row],[Team Number]],RobotDesignResults[Team Number],0))</f>
        <v/>
      </c>
      <c r="N17" s="73">
        <f>SUM(TournamentData[[#This Row],[Robot Game Rank]:[Robot Design Rank]])</f>
        <v/>
      </c>
      <c r="O17" s="105">
        <f>RANK(TournamentData[[#This Row],[Champion''s Score]],TournamentData[Champion''s Score],1)</f>
        <v/>
      </c>
      <c r="P17" s="74" t="n"/>
      <c r="Q17" s="78" t="n"/>
      <c r="R17" s="75">
        <f>IF(ISNA(INDEX(CoreValuesResults[Core Values Score],MATCH(TournamentData[[#This Row],[Team Number]],CoreValuesResults[Team Number],0))),0,INDEX(CoreValuesResults[Core Values Score],MATCH(TournamentData[[#This Row],[Team Number]],CoreValuesResults[Team Number],0)))</f>
        <v/>
      </c>
      <c r="S17" s="75">
        <f>IF(ISNA(INDEX(InnovationProjectResults[Innovation Project Score],MATCH(TournamentData[[#This Row],[Team Number]],InnovationProjectResults[Team Number],0))),0,INDEX(InnovationProjectResults[Innovation Project Score],MATCH(TournamentData[[#This Row],[Team Number]],InnovationProjectResults[Team Number],0)))</f>
        <v/>
      </c>
      <c r="T17" s="75">
        <f>IF(ISNA(INDEX(RobotDesignResults[Robot Design Score],MATCH(TournamentData[[#This Row],[Team Number]],RobotDesignResults[Team Number],0))),0,INDEX(RobotDesignResults[Robot Design Score],MATCH(TournamentData[[#This Row],[Team Number]],RobotDesignResults[Team Number],0)))</f>
        <v/>
      </c>
      <c r="U1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74">
        <f>IF(U3,_xlfn.RANK.EQ(U3,U$3:U$3,0),NumberOfTeams)</f>
        <v/>
      </c>
      <c r="W17" s="74" t="n"/>
    </row>
    <row r="18" ht="21" customHeight="1">
      <c r="A18" s="104" t="n">
        <v>53755</v>
      </c>
      <c r="B18" s="104">
        <f>INDEX(OfficialTeamList[Pod Number],MATCH(TournamentData[[#This Row],[Team Number]], OfficialTeamList[Team '#],0))</f>
        <v/>
      </c>
      <c r="C18" s="95">
        <f>INDEX(OfficialTeamList[Team Name],MATCH(TournamentData[[#This Row],[Team Number]], OfficialTeamList[Team '#],0))</f>
        <v/>
      </c>
      <c r="D18" s="73">
        <f>IF(TournamentData[[#This Row],[Team Number]]="","",IF(ISNA(INDEX('Robot Game Scores'!C:C,MATCH(TournamentData[[#This Row],[Team Number]], 'Robot Game Scores'!$A:$A,0))),0,INDEX('Robot Game Scores'!C:C,MATCH(TournamentData[[#This Row],[Team Number]], 'Robot Game Scores'!$A:$A,0))))</f>
        <v/>
      </c>
      <c r="E18" s="73">
        <f>IF(TournamentData[[#This Row],[Team Number]]="","",IF(ISNA(INDEX('Robot Game Scores'!D:D,MATCH(TournamentData[[#This Row],[Team Number]], 'Robot Game Scores'!$A:$A,0))),0,INDEX('Robot Game Scores'!D:D,MATCH(TournamentData[[#This Row],[Team Number]], 'Robot Game Scores'!$A:$A,0))))</f>
        <v/>
      </c>
      <c r="F18" s="73">
        <f>IF(TournamentData[[#This Row],[Team Number]]="","",IF(ISNA(INDEX('Robot Game Scores'!E:E,MATCH(TournamentData[[#This Row],[Team Number]], 'Robot Game Scores'!$A:$A,0))),0,INDEX('Robot Game Scores'!E:E,MATCH(TournamentData[[#This Row],[Team Number]], 'Robot Game Scores'!$A:$A,0))))</f>
        <v/>
      </c>
      <c r="G18" s="73">
        <f>IF(TournamentData[[#This Row],[Team Number]]="","",IF(ISNA(INDEX('Robot Game Scores'!#REF!,MATCH(TournamentData[[#This Row],[Team Number]], 'Robot Game Scores'!$A:$A,0))),0,INDEX('Robot Game Scores'!#REF!,MATCH(TournamentData[[#This Row],[Team Number]], 'Robot Game Scores'!$A:$A,0))))</f>
        <v/>
      </c>
      <c r="H18" s="73">
        <f>IF(TournamentData[[#This Row],[Team Number]]="","",IF(ISNA(INDEX('Robot Game Scores'!#REF!,MATCH(TournamentData[[#This Row],[Team Number]], 'Robot Game Scores'!$A:$A,0))),0,INDEX('Robot Game Scores'!#REF!,MATCH(TournamentData[[#This Row],[Team Number]], 'Robot Game Scores'!$A:$A,0))))</f>
        <v/>
      </c>
      <c r="I1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8" s="73">
        <f>_xlfn.RANK.EQ(TournamentData[[#This Row],[Max Robot Game Score]],TournamentData[Max Robot Game Score])</f>
        <v/>
      </c>
      <c r="K18" s="73">
        <f>INDEX(CoreValuesResults[Core Values Rank],MATCH(TournamentData[[#This Row],[Team Number]],CoreValuesResults[Team Number],0))</f>
        <v/>
      </c>
      <c r="L18" s="73">
        <f>INDEX(InnovationProjectResults[Innovation Project Rank],MATCH(TournamentData[[#This Row],[Team Number]],InnovationProjectResults[Team Number],0))</f>
        <v/>
      </c>
      <c r="M18" s="73">
        <f>INDEX(RobotDesignResults[Robot Design Rank],MATCH(TournamentData[[#This Row],[Team Number]],RobotDesignResults[Team Number],0))</f>
        <v/>
      </c>
      <c r="N18" s="73">
        <f>SUM(TournamentData[[#This Row],[Robot Game Rank]:[Robot Design Rank]])</f>
        <v/>
      </c>
      <c r="O18" s="105">
        <f>RANK(TournamentData[[#This Row],[Champion''s Score]],TournamentData[Champion''s Score],1)</f>
        <v/>
      </c>
      <c r="P18" s="74" t="n"/>
      <c r="Q18" s="78" t="n"/>
      <c r="R18" s="75">
        <f>IF(ISNA(INDEX(CoreValuesResults[Core Values Score],MATCH(TournamentData[[#This Row],[Team Number]],CoreValuesResults[Team Number],0))),0,INDEX(CoreValuesResults[Core Values Score],MATCH(TournamentData[[#This Row],[Team Number]],CoreValuesResults[Team Number],0)))</f>
        <v/>
      </c>
      <c r="S18" s="75">
        <f>IF(ISNA(INDEX(InnovationProjectResults[Innovation Project Score],MATCH(TournamentData[[#This Row],[Team Number]],InnovationProjectResults[Team Number],0))),0,INDEX(InnovationProjectResults[Innovation Project Score],MATCH(TournamentData[[#This Row],[Team Number]],InnovationProjectResults[Team Number],0)))</f>
        <v/>
      </c>
      <c r="T18" s="75">
        <f>IF(ISNA(INDEX(RobotDesignResults[Robot Design Score],MATCH(TournamentData[[#This Row],[Team Number]],RobotDesignResults[Team Number],0))),0,INDEX(RobotDesignResults[Robot Design Score],MATCH(TournamentData[[#This Row],[Team Number]],RobotDesignResults[Team Number],0)))</f>
        <v/>
      </c>
      <c r="U1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8" s="74">
        <f>IF(U3,_xlfn.RANK.EQ(U3,U$3:U$3,0),NumberOfTeams)</f>
        <v/>
      </c>
      <c r="W18" s="74" t="n"/>
    </row>
    <row r="19" ht="21" customHeight="1">
      <c r="A19" s="104" t="n">
        <v>60140</v>
      </c>
      <c r="B19" s="104">
        <f>INDEX(OfficialTeamList[Pod Number],MATCH(TournamentData[[#This Row],[Team Number]], OfficialTeamList[Team '#],0))</f>
        <v/>
      </c>
      <c r="C19" s="95">
        <f>INDEX(OfficialTeamList[Team Name],MATCH(TournamentData[[#This Row],[Team Number]], OfficialTeamList[Team '#],0))</f>
        <v/>
      </c>
      <c r="D19" s="73">
        <f>IF(TournamentData[[#This Row],[Team Number]]="","",IF(ISNA(INDEX('Robot Game Scores'!C:C,MATCH(TournamentData[[#This Row],[Team Number]], 'Robot Game Scores'!$A:$A,0))),0,INDEX('Robot Game Scores'!C:C,MATCH(TournamentData[[#This Row],[Team Number]], 'Robot Game Scores'!$A:$A,0))))</f>
        <v/>
      </c>
      <c r="E19" s="73">
        <f>IF(TournamentData[[#This Row],[Team Number]]="","",IF(ISNA(INDEX('Robot Game Scores'!D:D,MATCH(TournamentData[[#This Row],[Team Number]], 'Robot Game Scores'!$A:$A,0))),0,INDEX('Robot Game Scores'!D:D,MATCH(TournamentData[[#This Row],[Team Number]], 'Robot Game Scores'!$A:$A,0))))</f>
        <v/>
      </c>
      <c r="F19" s="73">
        <f>IF(TournamentData[[#This Row],[Team Number]]="","",IF(ISNA(INDEX('Robot Game Scores'!E:E,MATCH(TournamentData[[#This Row],[Team Number]], 'Robot Game Scores'!$A:$A,0))),0,INDEX('Robot Game Scores'!E:E,MATCH(TournamentData[[#This Row],[Team Number]], 'Robot Game Scores'!$A:$A,0))))</f>
        <v/>
      </c>
      <c r="G19" s="73">
        <f>IF(TournamentData[[#This Row],[Team Number]]="","",IF(ISNA(INDEX('Robot Game Scores'!#REF!,MATCH(TournamentData[[#This Row],[Team Number]], 'Robot Game Scores'!$A:$A,0))),0,INDEX('Robot Game Scores'!#REF!,MATCH(TournamentData[[#This Row],[Team Number]], 'Robot Game Scores'!$A:$A,0))))</f>
        <v/>
      </c>
      <c r="H19" s="73">
        <f>IF(TournamentData[[#This Row],[Team Number]]="","",IF(ISNA(INDEX('Robot Game Scores'!#REF!,MATCH(TournamentData[[#This Row],[Team Number]], 'Robot Game Scores'!$A:$A,0))),0,INDEX('Robot Game Scores'!#REF!,MATCH(TournamentData[[#This Row],[Team Number]], 'Robot Game Scores'!$A:$A,0))))</f>
        <v/>
      </c>
      <c r="I1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9" s="73">
        <f>_xlfn.RANK.EQ(TournamentData[[#This Row],[Max Robot Game Score]],TournamentData[Max Robot Game Score])</f>
        <v/>
      </c>
      <c r="K19" s="73">
        <f>INDEX(CoreValuesResults[Core Values Rank],MATCH(TournamentData[[#This Row],[Team Number]],CoreValuesResults[Team Number],0))</f>
        <v/>
      </c>
      <c r="L19" s="73">
        <f>INDEX(InnovationProjectResults[Innovation Project Rank],MATCH(TournamentData[[#This Row],[Team Number]],InnovationProjectResults[Team Number],0))</f>
        <v/>
      </c>
      <c r="M19" s="73">
        <f>INDEX(RobotDesignResults[Robot Design Rank],MATCH(TournamentData[[#This Row],[Team Number]],RobotDesignResults[Team Number],0))</f>
        <v/>
      </c>
      <c r="N19" s="73">
        <f>SUM(TournamentData[[#This Row],[Robot Game Rank]:[Robot Design Rank]])</f>
        <v/>
      </c>
      <c r="O19" s="105">
        <f>RANK(TournamentData[[#This Row],[Champion''s Score]],TournamentData[Champion''s Score],1)</f>
        <v/>
      </c>
      <c r="P19" s="74" t="n"/>
      <c r="Q19" s="78" t="n"/>
      <c r="R19" s="75">
        <f>IF(ISNA(INDEX(CoreValuesResults[Core Values Score],MATCH(TournamentData[[#This Row],[Team Number]],CoreValuesResults[Team Number],0))),0,INDEX(CoreValuesResults[Core Values Score],MATCH(TournamentData[[#This Row],[Team Number]],CoreValuesResults[Team Number],0)))</f>
        <v/>
      </c>
      <c r="S19" s="75">
        <f>IF(ISNA(INDEX(InnovationProjectResults[Innovation Project Score],MATCH(TournamentData[[#This Row],[Team Number]],InnovationProjectResults[Team Number],0))),0,INDEX(InnovationProjectResults[Innovation Project Score],MATCH(TournamentData[[#This Row],[Team Number]],InnovationProjectResults[Team Number],0)))</f>
        <v/>
      </c>
      <c r="T19" s="75">
        <f>IF(ISNA(INDEX(RobotDesignResults[Robot Design Score],MATCH(TournamentData[[#This Row],[Team Number]],RobotDesignResults[Team Number],0))),0,INDEX(RobotDesignResults[Robot Design Score],MATCH(TournamentData[[#This Row],[Team Number]],RobotDesignResults[Team Number],0)))</f>
        <v/>
      </c>
      <c r="U1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9" s="74">
        <f>IF(U3,_xlfn.RANK.EQ(U3,U$3:U$3,0),NumberOfTeams)</f>
        <v/>
      </c>
      <c r="W19" s="74" t="n"/>
    </row>
    <row r="20" ht="21" customHeight="1">
      <c r="A20" s="104" t="n">
        <v>60906</v>
      </c>
      <c r="B20" s="104">
        <f>INDEX(OfficialTeamList[Pod Number],MATCH(TournamentData[[#This Row],[Team Number]], OfficialTeamList[Team '#],0))</f>
        <v/>
      </c>
      <c r="C20" s="95">
        <f>INDEX(OfficialTeamList[Team Name],MATCH(TournamentData[[#This Row],[Team Number]], OfficialTeamList[Team '#],0))</f>
        <v/>
      </c>
      <c r="D20" s="73">
        <f>IF(TournamentData[[#This Row],[Team Number]]="","",IF(ISNA(INDEX('Robot Game Scores'!C:C,MATCH(TournamentData[[#This Row],[Team Number]], 'Robot Game Scores'!$A:$A,0))),0,INDEX('Robot Game Scores'!C:C,MATCH(TournamentData[[#This Row],[Team Number]], 'Robot Game Scores'!$A:$A,0))))</f>
        <v/>
      </c>
      <c r="E20" s="73">
        <f>IF(TournamentData[[#This Row],[Team Number]]="","",IF(ISNA(INDEX('Robot Game Scores'!D:D,MATCH(TournamentData[[#This Row],[Team Number]], 'Robot Game Scores'!$A:$A,0))),0,INDEX('Robot Game Scores'!D:D,MATCH(TournamentData[[#This Row],[Team Number]], 'Robot Game Scores'!$A:$A,0))))</f>
        <v/>
      </c>
      <c r="F20" s="73">
        <f>IF(TournamentData[[#This Row],[Team Number]]="","",IF(ISNA(INDEX('Robot Game Scores'!E:E,MATCH(TournamentData[[#This Row],[Team Number]], 'Robot Game Scores'!$A:$A,0))),0,INDEX('Robot Game Scores'!E:E,MATCH(TournamentData[[#This Row],[Team Number]], 'Robot Game Scores'!$A:$A,0))))</f>
        <v/>
      </c>
      <c r="G20" s="73">
        <f>IF(TournamentData[[#This Row],[Team Number]]="","",IF(ISNA(INDEX('Robot Game Scores'!#REF!,MATCH(TournamentData[[#This Row],[Team Number]], 'Robot Game Scores'!$A:$A,0))),0,INDEX('Robot Game Scores'!#REF!,MATCH(TournamentData[[#This Row],[Team Number]], 'Robot Game Scores'!$A:$A,0))))</f>
        <v/>
      </c>
      <c r="H20" s="73">
        <f>IF(TournamentData[[#This Row],[Team Number]]="","",IF(ISNA(INDEX('Robot Game Scores'!#REF!,MATCH(TournamentData[[#This Row],[Team Number]], 'Robot Game Scores'!$A:$A,0))),0,INDEX('Robot Game Scores'!#REF!,MATCH(TournamentData[[#This Row],[Team Number]], 'Robot Game Scores'!$A:$A,0))))</f>
        <v/>
      </c>
      <c r="I2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0" s="73">
        <f>_xlfn.RANK.EQ(TournamentData[[#This Row],[Max Robot Game Score]],TournamentData[Max Robot Game Score])</f>
        <v/>
      </c>
      <c r="K20" s="73">
        <f>INDEX(CoreValuesResults[Core Values Rank],MATCH(TournamentData[[#This Row],[Team Number]],CoreValuesResults[Team Number],0))</f>
        <v/>
      </c>
      <c r="L20" s="73">
        <f>INDEX(InnovationProjectResults[Innovation Project Rank],MATCH(TournamentData[[#This Row],[Team Number]],InnovationProjectResults[Team Number],0))</f>
        <v/>
      </c>
      <c r="M20" s="73">
        <f>INDEX(RobotDesignResults[Robot Design Rank],MATCH(TournamentData[[#This Row],[Team Number]],RobotDesignResults[Team Number],0))</f>
        <v/>
      </c>
      <c r="N20" s="73">
        <f>SUM(TournamentData[[#This Row],[Robot Game Rank]:[Robot Design Rank]])</f>
        <v/>
      </c>
      <c r="O20" s="105">
        <f>RANK(TournamentData[[#This Row],[Champion''s Score]],TournamentData[Champion''s Score],1)</f>
        <v/>
      </c>
      <c r="P20" s="74" t="n"/>
      <c r="Q20" s="78" t="n"/>
      <c r="R20" s="75">
        <f>IF(ISNA(INDEX(CoreValuesResults[Core Values Score],MATCH(TournamentData[[#This Row],[Team Number]],CoreValuesResults[Team Number],0))),0,INDEX(CoreValuesResults[Core Values Score],MATCH(TournamentData[[#This Row],[Team Number]],CoreValuesResults[Team Number],0)))</f>
        <v/>
      </c>
      <c r="S20" s="75">
        <f>IF(ISNA(INDEX(InnovationProjectResults[Innovation Project Score],MATCH(TournamentData[[#This Row],[Team Number]],InnovationProjectResults[Team Number],0))),0,INDEX(InnovationProjectResults[Innovation Project Score],MATCH(TournamentData[[#This Row],[Team Number]],InnovationProjectResults[Team Number],0)))</f>
        <v/>
      </c>
      <c r="T20" s="75">
        <f>IF(ISNA(INDEX(RobotDesignResults[Robot Design Score],MATCH(TournamentData[[#This Row],[Team Number]],RobotDesignResults[Team Number],0))),0,INDEX(RobotDesignResults[Robot Design Score],MATCH(TournamentData[[#This Row],[Team Number]],RobotDesignResults[Team Number],0)))</f>
        <v/>
      </c>
      <c r="U2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0" s="74">
        <f>IF(U3,_xlfn.RANK.EQ(U3,U$3:U$3,0),NumberOfTeams)</f>
        <v/>
      </c>
      <c r="W20" s="74" t="n"/>
    </row>
    <row r="21" ht="21" customHeight="1">
      <c r="A21" s="104" t="n">
        <v>60907</v>
      </c>
      <c r="B21" s="104">
        <f>INDEX(OfficialTeamList[Pod Number],MATCH(TournamentData[[#This Row],[Team Number]], OfficialTeamList[Team '#],0))</f>
        <v/>
      </c>
      <c r="C21" s="95">
        <f>INDEX(OfficialTeamList[Team Name],MATCH(TournamentData[[#This Row],[Team Number]], OfficialTeamList[Team '#],0))</f>
        <v/>
      </c>
      <c r="D21" s="73">
        <f>IF(TournamentData[[#This Row],[Team Number]]="","",IF(ISNA(INDEX('Robot Game Scores'!C:C,MATCH(TournamentData[[#This Row],[Team Number]], 'Robot Game Scores'!$A:$A,0))),0,INDEX('Robot Game Scores'!C:C,MATCH(TournamentData[[#This Row],[Team Number]], 'Robot Game Scores'!$A:$A,0))))</f>
        <v/>
      </c>
      <c r="E21" s="73">
        <f>IF(TournamentData[[#This Row],[Team Number]]="","",IF(ISNA(INDEX('Robot Game Scores'!D:D,MATCH(TournamentData[[#This Row],[Team Number]], 'Robot Game Scores'!$A:$A,0))),0,INDEX('Robot Game Scores'!D:D,MATCH(TournamentData[[#This Row],[Team Number]], 'Robot Game Scores'!$A:$A,0))))</f>
        <v/>
      </c>
      <c r="F21" s="73">
        <f>IF(TournamentData[[#This Row],[Team Number]]="","",IF(ISNA(INDEX('Robot Game Scores'!E:E,MATCH(TournamentData[[#This Row],[Team Number]], 'Robot Game Scores'!$A:$A,0))),0,INDEX('Robot Game Scores'!E:E,MATCH(TournamentData[[#This Row],[Team Number]], 'Robot Game Scores'!$A:$A,0))))</f>
        <v/>
      </c>
      <c r="G21" s="73">
        <f>IF(TournamentData[[#This Row],[Team Number]]="","",IF(ISNA(INDEX('Robot Game Scores'!#REF!,MATCH(TournamentData[[#This Row],[Team Number]], 'Robot Game Scores'!$A:$A,0))),0,INDEX('Robot Game Scores'!#REF!,MATCH(TournamentData[[#This Row],[Team Number]], 'Robot Game Scores'!$A:$A,0))))</f>
        <v/>
      </c>
      <c r="H21" s="73">
        <f>IF(TournamentData[[#This Row],[Team Number]]="","",IF(ISNA(INDEX('Robot Game Scores'!#REF!,MATCH(TournamentData[[#This Row],[Team Number]], 'Robot Game Scores'!$A:$A,0))),0,INDEX('Robot Game Scores'!#REF!,MATCH(TournamentData[[#This Row],[Team Number]], 'Robot Game Scores'!$A:$A,0))))</f>
        <v/>
      </c>
      <c r="I2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1" s="73">
        <f>_xlfn.RANK.EQ(TournamentData[[#This Row],[Max Robot Game Score]],TournamentData[Max Robot Game Score])</f>
        <v/>
      </c>
      <c r="K21" s="73">
        <f>INDEX(CoreValuesResults[Core Values Rank],MATCH(TournamentData[[#This Row],[Team Number]],CoreValuesResults[Team Number],0))</f>
        <v/>
      </c>
      <c r="L21" s="73">
        <f>INDEX(InnovationProjectResults[Innovation Project Rank],MATCH(TournamentData[[#This Row],[Team Number]],InnovationProjectResults[Team Number],0))</f>
        <v/>
      </c>
      <c r="M21" s="73">
        <f>INDEX(RobotDesignResults[Robot Design Rank],MATCH(TournamentData[[#This Row],[Team Number]],RobotDesignResults[Team Number],0))</f>
        <v/>
      </c>
      <c r="N21" s="73">
        <f>SUM(TournamentData[[#This Row],[Robot Game Rank]:[Robot Design Rank]])</f>
        <v/>
      </c>
      <c r="O21" s="105">
        <f>RANK(TournamentData[[#This Row],[Champion''s Score]],TournamentData[Champion''s Score],1)</f>
        <v/>
      </c>
      <c r="P21" s="74" t="n"/>
      <c r="Q21" s="78" t="n"/>
      <c r="R21" s="75">
        <f>IF(ISNA(INDEX(CoreValuesResults[Core Values Score],MATCH(TournamentData[[#This Row],[Team Number]],CoreValuesResults[Team Number],0))),0,INDEX(CoreValuesResults[Core Values Score],MATCH(TournamentData[[#This Row],[Team Number]],CoreValuesResults[Team Number],0)))</f>
        <v/>
      </c>
      <c r="S21" s="75">
        <f>IF(ISNA(INDEX(InnovationProjectResults[Innovation Project Score],MATCH(TournamentData[[#This Row],[Team Number]],InnovationProjectResults[Team Number],0))),0,INDEX(InnovationProjectResults[Innovation Project Score],MATCH(TournamentData[[#This Row],[Team Number]],InnovationProjectResults[Team Number],0)))</f>
        <v/>
      </c>
      <c r="T21" s="75">
        <f>IF(ISNA(INDEX(RobotDesignResults[Robot Design Score],MATCH(TournamentData[[#This Row],[Team Number]],RobotDesignResults[Team Number],0))),0,INDEX(RobotDesignResults[Robot Design Score],MATCH(TournamentData[[#This Row],[Team Number]],RobotDesignResults[Team Number],0)))</f>
        <v/>
      </c>
      <c r="U2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1" s="74">
        <f>IF(U3,_xlfn.RANK.EQ(U3,U$3:U$3,0),NumberOfTeams)</f>
        <v/>
      </c>
      <c r="W21" s="74" t="n"/>
    </row>
    <row r="22" ht="21" customHeight="1">
      <c r="A22" s="104" t="n">
        <v>61461</v>
      </c>
      <c r="B22" s="104">
        <f>INDEX(OfficialTeamList[Pod Number],MATCH(TournamentData[[#This Row],[Team Number]], OfficialTeamList[Team '#],0))</f>
        <v/>
      </c>
      <c r="C22" s="95">
        <f>INDEX(OfficialTeamList[Team Name],MATCH(TournamentData[[#This Row],[Team Number]], OfficialTeamList[Team '#],0))</f>
        <v/>
      </c>
      <c r="D22" s="73">
        <f>IF(TournamentData[[#This Row],[Team Number]]="","",IF(ISNA(INDEX('Robot Game Scores'!C:C,MATCH(TournamentData[[#This Row],[Team Number]], 'Robot Game Scores'!$A:$A,0))),0,INDEX('Robot Game Scores'!C:C,MATCH(TournamentData[[#This Row],[Team Number]], 'Robot Game Scores'!$A:$A,0))))</f>
        <v/>
      </c>
      <c r="E22" s="73">
        <f>IF(TournamentData[[#This Row],[Team Number]]="","",IF(ISNA(INDEX('Robot Game Scores'!D:D,MATCH(TournamentData[[#This Row],[Team Number]], 'Robot Game Scores'!$A:$A,0))),0,INDEX('Robot Game Scores'!D:D,MATCH(TournamentData[[#This Row],[Team Number]], 'Robot Game Scores'!$A:$A,0))))</f>
        <v/>
      </c>
      <c r="F22" s="73">
        <f>IF(TournamentData[[#This Row],[Team Number]]="","",IF(ISNA(INDEX('Robot Game Scores'!E:E,MATCH(TournamentData[[#This Row],[Team Number]], 'Robot Game Scores'!$A:$A,0))),0,INDEX('Robot Game Scores'!E:E,MATCH(TournamentData[[#This Row],[Team Number]], 'Robot Game Scores'!$A:$A,0))))</f>
        <v/>
      </c>
      <c r="G22" s="73">
        <f>IF(TournamentData[[#This Row],[Team Number]]="","",IF(ISNA(INDEX('Robot Game Scores'!#REF!,MATCH(TournamentData[[#This Row],[Team Number]], 'Robot Game Scores'!$A:$A,0))),0,INDEX('Robot Game Scores'!#REF!,MATCH(TournamentData[[#This Row],[Team Number]], 'Robot Game Scores'!$A:$A,0))))</f>
        <v/>
      </c>
      <c r="H22" s="73">
        <f>IF(TournamentData[[#This Row],[Team Number]]="","",IF(ISNA(INDEX('Robot Game Scores'!#REF!,MATCH(TournamentData[[#This Row],[Team Number]], 'Robot Game Scores'!$A:$A,0))),0,INDEX('Robot Game Scores'!#REF!,MATCH(TournamentData[[#This Row],[Team Number]], 'Robot Game Scores'!$A:$A,0))))</f>
        <v/>
      </c>
      <c r="I2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2" s="73">
        <f>_xlfn.RANK.EQ(TournamentData[[#This Row],[Max Robot Game Score]],TournamentData[Max Robot Game Score])</f>
        <v/>
      </c>
      <c r="K22" s="73">
        <f>INDEX(CoreValuesResults[Core Values Rank],MATCH(TournamentData[[#This Row],[Team Number]],CoreValuesResults[Team Number],0))</f>
        <v/>
      </c>
      <c r="L22" s="73">
        <f>INDEX(InnovationProjectResults[Innovation Project Rank],MATCH(TournamentData[[#This Row],[Team Number]],InnovationProjectResults[Team Number],0))</f>
        <v/>
      </c>
      <c r="M22" s="73">
        <f>INDEX(RobotDesignResults[Robot Design Rank],MATCH(TournamentData[[#This Row],[Team Number]],RobotDesignResults[Team Number],0))</f>
        <v/>
      </c>
      <c r="N22" s="73">
        <f>SUM(TournamentData[[#This Row],[Robot Game Rank]:[Robot Design Rank]])</f>
        <v/>
      </c>
      <c r="O22" s="105">
        <f>RANK(TournamentData[[#This Row],[Champion''s Score]],TournamentData[Champion''s Score],1)</f>
        <v/>
      </c>
      <c r="P22" s="74" t="n"/>
      <c r="Q22" s="78" t="n"/>
      <c r="R22" s="75">
        <f>IF(ISNA(INDEX(CoreValuesResults[Core Values Score],MATCH(TournamentData[[#This Row],[Team Number]],CoreValuesResults[Team Number],0))),0,INDEX(CoreValuesResults[Core Values Score],MATCH(TournamentData[[#This Row],[Team Number]],CoreValuesResults[Team Number],0)))</f>
        <v/>
      </c>
      <c r="S22" s="75">
        <f>IF(ISNA(INDEX(InnovationProjectResults[Innovation Project Score],MATCH(TournamentData[[#This Row],[Team Number]],InnovationProjectResults[Team Number],0))),0,INDEX(InnovationProjectResults[Innovation Project Score],MATCH(TournamentData[[#This Row],[Team Number]],InnovationProjectResults[Team Number],0)))</f>
        <v/>
      </c>
      <c r="T22" s="75">
        <f>IF(ISNA(INDEX(RobotDesignResults[Robot Design Score],MATCH(TournamentData[[#This Row],[Team Number]],RobotDesignResults[Team Number],0))),0,INDEX(RobotDesignResults[Robot Design Score],MATCH(TournamentData[[#This Row],[Team Number]],RobotDesignResults[Team Number],0)))</f>
        <v/>
      </c>
      <c r="U2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2" s="74">
        <f>IF(U3,_xlfn.RANK.EQ(U3,U$3:U$3,0),NumberOfTeams)</f>
        <v/>
      </c>
      <c r="W22" s="74" t="n"/>
    </row>
    <row r="23" ht="21" customHeight="1">
      <c r="A23" s="104" t="n">
        <v>67022</v>
      </c>
      <c r="B23" s="104">
        <f>INDEX(OfficialTeamList[Pod Number],MATCH(TournamentData[[#This Row],[Team Number]], OfficialTeamList[Team '#],0))</f>
        <v/>
      </c>
      <c r="C23" s="95">
        <f>INDEX(OfficialTeamList[Team Name],MATCH(TournamentData[[#This Row],[Team Number]], OfficialTeamList[Team '#],0))</f>
        <v/>
      </c>
      <c r="D23" s="73">
        <f>IF(TournamentData[[#This Row],[Team Number]]="","",IF(ISNA(INDEX('Robot Game Scores'!C:C,MATCH(TournamentData[[#This Row],[Team Number]], 'Robot Game Scores'!$A:$A,0))),0,INDEX('Robot Game Scores'!C:C,MATCH(TournamentData[[#This Row],[Team Number]], 'Robot Game Scores'!$A:$A,0))))</f>
        <v/>
      </c>
      <c r="E23" s="73">
        <f>IF(TournamentData[[#This Row],[Team Number]]="","",IF(ISNA(INDEX('Robot Game Scores'!D:D,MATCH(TournamentData[[#This Row],[Team Number]], 'Robot Game Scores'!$A:$A,0))),0,INDEX('Robot Game Scores'!D:D,MATCH(TournamentData[[#This Row],[Team Number]], 'Robot Game Scores'!$A:$A,0))))</f>
        <v/>
      </c>
      <c r="F23" s="73">
        <f>IF(TournamentData[[#This Row],[Team Number]]="","",IF(ISNA(INDEX('Robot Game Scores'!E:E,MATCH(TournamentData[[#This Row],[Team Number]], 'Robot Game Scores'!$A:$A,0))),0,INDEX('Robot Game Scores'!E:E,MATCH(TournamentData[[#This Row],[Team Number]], 'Robot Game Scores'!$A:$A,0))))</f>
        <v/>
      </c>
      <c r="G23" s="73">
        <f>IF(TournamentData[[#This Row],[Team Number]]="","",IF(ISNA(INDEX('Robot Game Scores'!#REF!,MATCH(TournamentData[[#This Row],[Team Number]], 'Robot Game Scores'!$A:$A,0))),0,INDEX('Robot Game Scores'!#REF!,MATCH(TournamentData[[#This Row],[Team Number]], 'Robot Game Scores'!$A:$A,0))))</f>
        <v/>
      </c>
      <c r="H23" s="73">
        <f>IF(TournamentData[[#This Row],[Team Number]]="","",IF(ISNA(INDEX('Robot Game Scores'!#REF!,MATCH(TournamentData[[#This Row],[Team Number]], 'Robot Game Scores'!$A:$A,0))),0,INDEX('Robot Game Scores'!#REF!,MATCH(TournamentData[[#This Row],[Team Number]], 'Robot Game Scores'!$A:$A,0))))</f>
        <v/>
      </c>
      <c r="I2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3" s="73">
        <f>_xlfn.RANK.EQ(TournamentData[[#This Row],[Max Robot Game Score]],TournamentData[Max Robot Game Score])</f>
        <v/>
      </c>
      <c r="K23" s="73">
        <f>INDEX(CoreValuesResults[Core Values Rank],MATCH(TournamentData[[#This Row],[Team Number]],CoreValuesResults[Team Number],0))</f>
        <v/>
      </c>
      <c r="L23" s="73">
        <f>INDEX(InnovationProjectResults[Innovation Project Rank],MATCH(TournamentData[[#This Row],[Team Number]],InnovationProjectResults[Team Number],0))</f>
        <v/>
      </c>
      <c r="M23" s="73">
        <f>INDEX(RobotDesignResults[Robot Design Rank],MATCH(TournamentData[[#This Row],[Team Number]],RobotDesignResults[Team Number],0))</f>
        <v/>
      </c>
      <c r="N23" s="73">
        <f>SUM(TournamentData[[#This Row],[Robot Game Rank]:[Robot Design Rank]])</f>
        <v/>
      </c>
      <c r="O23" s="105">
        <f>RANK(TournamentData[[#This Row],[Champion''s Score]],TournamentData[Champion''s Score],1)</f>
        <v/>
      </c>
      <c r="P23" s="74" t="n"/>
      <c r="Q23" s="78" t="n"/>
      <c r="R23" s="75">
        <f>IF(ISNA(INDEX(CoreValuesResults[Core Values Score],MATCH(TournamentData[[#This Row],[Team Number]],CoreValuesResults[Team Number],0))),0,INDEX(CoreValuesResults[Core Values Score],MATCH(TournamentData[[#This Row],[Team Number]],CoreValuesResults[Team Number],0)))</f>
        <v/>
      </c>
      <c r="S23" s="75">
        <f>IF(ISNA(INDEX(InnovationProjectResults[Innovation Project Score],MATCH(TournamentData[[#This Row],[Team Number]],InnovationProjectResults[Team Number],0))),0,INDEX(InnovationProjectResults[Innovation Project Score],MATCH(TournamentData[[#This Row],[Team Number]],InnovationProjectResults[Team Number],0)))</f>
        <v/>
      </c>
      <c r="T23" s="75">
        <f>IF(ISNA(INDEX(RobotDesignResults[Robot Design Score],MATCH(TournamentData[[#This Row],[Team Number]],RobotDesignResults[Team Number],0))),0,INDEX(RobotDesignResults[Robot Design Score],MATCH(TournamentData[[#This Row],[Team Number]],RobotDesignResults[Team Number],0)))</f>
        <v/>
      </c>
      <c r="U2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3" s="74">
        <f>IF(U3,_xlfn.RANK.EQ(U3,U$3:U$3,0),NumberOfTeams)</f>
        <v/>
      </c>
      <c r="W23" s="74" t="n"/>
    </row>
    <row r="24" ht="21" customHeight="1">
      <c r="A24" s="104" t="n">
        <v>69306</v>
      </c>
      <c r="B24" s="104">
        <f>INDEX(OfficialTeamList[Pod Number],MATCH(TournamentData[[#This Row],[Team Number]], OfficialTeamList[Team '#],0))</f>
        <v/>
      </c>
      <c r="C24" s="95">
        <f>INDEX(OfficialTeamList[Team Name],MATCH(TournamentData[[#This Row],[Team Number]], OfficialTeamList[Team '#],0))</f>
        <v/>
      </c>
      <c r="D24" s="73">
        <f>IF(TournamentData[[#This Row],[Team Number]]="","",IF(ISNA(INDEX('Robot Game Scores'!C:C,MATCH(TournamentData[[#This Row],[Team Number]], 'Robot Game Scores'!$A:$A,0))),0,INDEX('Robot Game Scores'!C:C,MATCH(TournamentData[[#This Row],[Team Number]], 'Robot Game Scores'!$A:$A,0))))</f>
        <v/>
      </c>
      <c r="E24" s="73">
        <f>IF(TournamentData[[#This Row],[Team Number]]="","",IF(ISNA(INDEX('Robot Game Scores'!D:D,MATCH(TournamentData[[#This Row],[Team Number]], 'Robot Game Scores'!$A:$A,0))),0,INDEX('Robot Game Scores'!D:D,MATCH(TournamentData[[#This Row],[Team Number]], 'Robot Game Scores'!$A:$A,0))))</f>
        <v/>
      </c>
      <c r="F24" s="73">
        <f>IF(TournamentData[[#This Row],[Team Number]]="","",IF(ISNA(INDEX('Robot Game Scores'!E:E,MATCH(TournamentData[[#This Row],[Team Number]], 'Robot Game Scores'!$A:$A,0))),0,INDEX('Robot Game Scores'!E:E,MATCH(TournamentData[[#This Row],[Team Number]], 'Robot Game Scores'!$A:$A,0))))</f>
        <v/>
      </c>
      <c r="G24" s="73">
        <f>IF(TournamentData[[#This Row],[Team Number]]="","",IF(ISNA(INDEX('Robot Game Scores'!#REF!,MATCH(TournamentData[[#This Row],[Team Number]], 'Robot Game Scores'!$A:$A,0))),0,INDEX('Robot Game Scores'!#REF!,MATCH(TournamentData[[#This Row],[Team Number]], 'Robot Game Scores'!$A:$A,0))))</f>
        <v/>
      </c>
      <c r="H24" s="73">
        <f>IF(TournamentData[[#This Row],[Team Number]]="","",IF(ISNA(INDEX('Robot Game Scores'!#REF!,MATCH(TournamentData[[#This Row],[Team Number]], 'Robot Game Scores'!$A:$A,0))),0,INDEX('Robot Game Scores'!#REF!,MATCH(TournamentData[[#This Row],[Team Number]], 'Robot Game Scores'!$A:$A,0))))</f>
        <v/>
      </c>
      <c r="I2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4" s="73">
        <f>_xlfn.RANK.EQ(TournamentData[[#This Row],[Max Robot Game Score]],TournamentData[Max Robot Game Score])</f>
        <v/>
      </c>
      <c r="K24" s="73">
        <f>INDEX(CoreValuesResults[Core Values Rank],MATCH(TournamentData[[#This Row],[Team Number]],CoreValuesResults[Team Number],0))</f>
        <v/>
      </c>
      <c r="L24" s="73">
        <f>INDEX(InnovationProjectResults[Innovation Project Rank],MATCH(TournamentData[[#This Row],[Team Number]],InnovationProjectResults[Team Number],0))</f>
        <v/>
      </c>
      <c r="M24" s="73">
        <f>INDEX(RobotDesignResults[Robot Design Rank],MATCH(TournamentData[[#This Row],[Team Number]],RobotDesignResults[Team Number],0))</f>
        <v/>
      </c>
      <c r="N24" s="73">
        <f>SUM(TournamentData[[#This Row],[Robot Game Rank]:[Robot Design Rank]])</f>
        <v/>
      </c>
      <c r="O24" s="105">
        <f>RANK(TournamentData[[#This Row],[Champion''s Score]],TournamentData[Champion''s Score],1)</f>
        <v/>
      </c>
      <c r="P24" s="74" t="n"/>
      <c r="Q24" s="78" t="n"/>
      <c r="R24" s="75">
        <f>IF(ISNA(INDEX(CoreValuesResults[Core Values Score],MATCH(TournamentData[[#This Row],[Team Number]],CoreValuesResults[Team Number],0))),0,INDEX(CoreValuesResults[Core Values Score],MATCH(TournamentData[[#This Row],[Team Number]],CoreValuesResults[Team Number],0)))</f>
        <v/>
      </c>
      <c r="S24" s="75">
        <f>IF(ISNA(INDEX(InnovationProjectResults[Innovation Project Score],MATCH(TournamentData[[#This Row],[Team Number]],InnovationProjectResults[Team Number],0))),0,INDEX(InnovationProjectResults[Innovation Project Score],MATCH(TournamentData[[#This Row],[Team Number]],InnovationProjectResults[Team Number],0)))</f>
        <v/>
      </c>
      <c r="T24" s="75">
        <f>IF(ISNA(INDEX(RobotDesignResults[Robot Design Score],MATCH(TournamentData[[#This Row],[Team Number]],RobotDesignResults[Team Number],0))),0,INDEX(RobotDesignResults[Robot Design Score],MATCH(TournamentData[[#This Row],[Team Number]],RobotDesignResults[Team Number],0)))</f>
        <v/>
      </c>
      <c r="U2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4" s="74">
        <f>IF(U3,_xlfn.RANK.EQ(U3,U$3:U$3,0),NumberOfTeams)</f>
        <v/>
      </c>
      <c r="W24" s="74" t="n"/>
    </row>
    <row r="25" ht="21" customHeight="1">
      <c r="A25" s="104" t="n">
        <v>72747</v>
      </c>
      <c r="B25" s="104">
        <f>INDEX(OfficialTeamList[Pod Number],MATCH(TournamentData[[#This Row],[Team Number]], OfficialTeamList[Team '#],0))</f>
        <v/>
      </c>
      <c r="C25" s="95">
        <f>INDEX(OfficialTeamList[Team Name],MATCH(TournamentData[[#This Row],[Team Number]], OfficialTeamList[Team '#],0))</f>
        <v/>
      </c>
      <c r="D25" s="73">
        <f>IF(TournamentData[[#This Row],[Team Number]]="","",IF(ISNA(INDEX('Robot Game Scores'!C:C,MATCH(TournamentData[[#This Row],[Team Number]], 'Robot Game Scores'!$A:$A,0))),0,INDEX('Robot Game Scores'!C:C,MATCH(TournamentData[[#This Row],[Team Number]], 'Robot Game Scores'!$A:$A,0))))</f>
        <v/>
      </c>
      <c r="E25" s="73">
        <f>IF(TournamentData[[#This Row],[Team Number]]="","",IF(ISNA(INDEX('Robot Game Scores'!D:D,MATCH(TournamentData[[#This Row],[Team Number]], 'Robot Game Scores'!$A:$A,0))),0,INDEX('Robot Game Scores'!D:D,MATCH(TournamentData[[#This Row],[Team Number]], 'Robot Game Scores'!$A:$A,0))))</f>
        <v/>
      </c>
      <c r="F25" s="73">
        <f>IF(TournamentData[[#This Row],[Team Number]]="","",IF(ISNA(INDEX('Robot Game Scores'!E:E,MATCH(TournamentData[[#This Row],[Team Number]], 'Robot Game Scores'!$A:$A,0))),0,INDEX('Robot Game Scores'!E:E,MATCH(TournamentData[[#This Row],[Team Number]], 'Robot Game Scores'!$A:$A,0))))</f>
        <v/>
      </c>
      <c r="G25" s="73">
        <f>IF(TournamentData[[#This Row],[Team Number]]="","",IF(ISNA(INDEX('Robot Game Scores'!#REF!,MATCH(TournamentData[[#This Row],[Team Number]], 'Robot Game Scores'!$A:$A,0))),0,INDEX('Robot Game Scores'!#REF!,MATCH(TournamentData[[#This Row],[Team Number]], 'Robot Game Scores'!$A:$A,0))))</f>
        <v/>
      </c>
      <c r="H25" s="73">
        <f>IF(TournamentData[[#This Row],[Team Number]]="","",IF(ISNA(INDEX('Robot Game Scores'!#REF!,MATCH(TournamentData[[#This Row],[Team Number]], 'Robot Game Scores'!$A:$A,0))),0,INDEX('Robot Game Scores'!#REF!,MATCH(TournamentData[[#This Row],[Team Number]], 'Robot Game Scores'!$A:$A,0))))</f>
        <v/>
      </c>
      <c r="I2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5" s="73">
        <f>_xlfn.RANK.EQ(TournamentData[[#This Row],[Max Robot Game Score]],TournamentData[Max Robot Game Score])</f>
        <v/>
      </c>
      <c r="K25" s="73">
        <f>INDEX(CoreValuesResults[Core Values Rank],MATCH(TournamentData[[#This Row],[Team Number]],CoreValuesResults[Team Number],0))</f>
        <v/>
      </c>
      <c r="L25" s="73">
        <f>INDEX(InnovationProjectResults[Innovation Project Rank],MATCH(TournamentData[[#This Row],[Team Number]],InnovationProjectResults[Team Number],0))</f>
        <v/>
      </c>
      <c r="M25" s="73">
        <f>INDEX(RobotDesignResults[Robot Design Rank],MATCH(TournamentData[[#This Row],[Team Number]],RobotDesignResults[Team Number],0))</f>
        <v/>
      </c>
      <c r="N25" s="73">
        <f>SUM(TournamentData[[#This Row],[Robot Game Rank]:[Robot Design Rank]])</f>
        <v/>
      </c>
      <c r="O25" s="105">
        <f>RANK(TournamentData[[#This Row],[Champion''s Score]],TournamentData[Champion''s Score],1)</f>
        <v/>
      </c>
      <c r="P25" s="74" t="n"/>
      <c r="Q25" s="78" t="n"/>
      <c r="R25" s="75">
        <f>IF(ISNA(INDEX(CoreValuesResults[Core Values Score],MATCH(TournamentData[[#This Row],[Team Number]],CoreValuesResults[Team Number],0))),0,INDEX(CoreValuesResults[Core Values Score],MATCH(TournamentData[[#This Row],[Team Number]],CoreValuesResults[Team Number],0)))</f>
        <v/>
      </c>
      <c r="S25" s="75">
        <f>IF(ISNA(INDEX(InnovationProjectResults[Innovation Project Score],MATCH(TournamentData[[#This Row],[Team Number]],InnovationProjectResults[Team Number],0))),0,INDEX(InnovationProjectResults[Innovation Project Score],MATCH(TournamentData[[#This Row],[Team Number]],InnovationProjectResults[Team Number],0)))</f>
        <v/>
      </c>
      <c r="T25" s="75">
        <f>IF(ISNA(INDEX(RobotDesignResults[Robot Design Score],MATCH(TournamentData[[#This Row],[Team Number]],RobotDesignResults[Team Number],0))),0,INDEX(RobotDesignResults[Robot Design Score],MATCH(TournamentData[[#This Row],[Team Number]],RobotDesignResults[Team Number],0)))</f>
        <v/>
      </c>
      <c r="U2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5" s="74">
        <f>IF(U3,_xlfn.RANK.EQ(U3,U$3:U$3,0),NumberOfTeams)</f>
        <v/>
      </c>
      <c r="W25" s="74" t="n"/>
    </row>
    <row r="26" ht="21" customHeight="1">
      <c r="A26" s="104" t="n">
        <v>74225</v>
      </c>
      <c r="B26" s="104">
        <f>INDEX(OfficialTeamList[Pod Number],MATCH(TournamentData[[#This Row],[Team Number]], OfficialTeamList[Team '#],0))</f>
        <v/>
      </c>
      <c r="C26" s="95">
        <f>INDEX(OfficialTeamList[Team Name],MATCH(TournamentData[[#This Row],[Team Number]], OfficialTeamList[Team '#],0))</f>
        <v/>
      </c>
      <c r="D26" s="73">
        <f>IF(TournamentData[[#This Row],[Team Number]]="","",IF(ISNA(INDEX('Robot Game Scores'!C:C,MATCH(TournamentData[[#This Row],[Team Number]], 'Robot Game Scores'!$A:$A,0))),0,INDEX('Robot Game Scores'!C:C,MATCH(TournamentData[[#This Row],[Team Number]], 'Robot Game Scores'!$A:$A,0))))</f>
        <v/>
      </c>
      <c r="E26" s="73">
        <f>IF(TournamentData[[#This Row],[Team Number]]="","",IF(ISNA(INDEX('Robot Game Scores'!D:D,MATCH(TournamentData[[#This Row],[Team Number]], 'Robot Game Scores'!$A:$A,0))),0,INDEX('Robot Game Scores'!D:D,MATCH(TournamentData[[#This Row],[Team Number]], 'Robot Game Scores'!$A:$A,0))))</f>
        <v/>
      </c>
      <c r="F26" s="73">
        <f>IF(TournamentData[[#This Row],[Team Number]]="","",IF(ISNA(INDEX('Robot Game Scores'!E:E,MATCH(TournamentData[[#This Row],[Team Number]], 'Robot Game Scores'!$A:$A,0))),0,INDEX('Robot Game Scores'!E:E,MATCH(TournamentData[[#This Row],[Team Number]], 'Robot Game Scores'!$A:$A,0))))</f>
        <v/>
      </c>
      <c r="G26" s="73">
        <f>IF(TournamentData[[#This Row],[Team Number]]="","",IF(ISNA(INDEX('Robot Game Scores'!#REF!,MATCH(TournamentData[[#This Row],[Team Number]], 'Robot Game Scores'!$A:$A,0))),0,INDEX('Robot Game Scores'!#REF!,MATCH(TournamentData[[#This Row],[Team Number]], 'Robot Game Scores'!$A:$A,0))))</f>
        <v/>
      </c>
      <c r="H26" s="73">
        <f>IF(TournamentData[[#This Row],[Team Number]]="","",IF(ISNA(INDEX('Robot Game Scores'!#REF!,MATCH(TournamentData[[#This Row],[Team Number]], 'Robot Game Scores'!$A:$A,0))),0,INDEX('Robot Game Scores'!#REF!,MATCH(TournamentData[[#This Row],[Team Number]], 'Robot Game Scores'!$A:$A,0))))</f>
        <v/>
      </c>
      <c r="I2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6" s="73">
        <f>_xlfn.RANK.EQ(TournamentData[[#This Row],[Max Robot Game Score]],TournamentData[Max Robot Game Score])</f>
        <v/>
      </c>
      <c r="K26" s="73">
        <f>INDEX(CoreValuesResults[Core Values Rank],MATCH(TournamentData[[#This Row],[Team Number]],CoreValuesResults[Team Number],0))</f>
        <v/>
      </c>
      <c r="L26" s="73">
        <f>INDEX(InnovationProjectResults[Innovation Project Rank],MATCH(TournamentData[[#This Row],[Team Number]],InnovationProjectResults[Team Number],0))</f>
        <v/>
      </c>
      <c r="M26" s="73">
        <f>INDEX(RobotDesignResults[Robot Design Rank],MATCH(TournamentData[[#This Row],[Team Number]],RobotDesignResults[Team Number],0))</f>
        <v/>
      </c>
      <c r="N26" s="73">
        <f>SUM(TournamentData[[#This Row],[Robot Game Rank]:[Robot Design Rank]])</f>
        <v/>
      </c>
      <c r="O26" s="105">
        <f>RANK(TournamentData[[#This Row],[Champion''s Score]],TournamentData[Champion''s Score],1)</f>
        <v/>
      </c>
      <c r="P26" s="74" t="n"/>
      <c r="Q26" s="78" t="n"/>
      <c r="R26" s="75">
        <f>IF(ISNA(INDEX(CoreValuesResults[Core Values Score],MATCH(TournamentData[[#This Row],[Team Number]],CoreValuesResults[Team Number],0))),0,INDEX(CoreValuesResults[Core Values Score],MATCH(TournamentData[[#This Row],[Team Number]],CoreValuesResults[Team Number],0)))</f>
        <v/>
      </c>
      <c r="S26" s="75">
        <f>IF(ISNA(INDEX(InnovationProjectResults[Innovation Project Score],MATCH(TournamentData[[#This Row],[Team Number]],InnovationProjectResults[Team Number],0))),0,INDEX(InnovationProjectResults[Innovation Project Score],MATCH(TournamentData[[#This Row],[Team Number]],InnovationProjectResults[Team Number],0)))</f>
        <v/>
      </c>
      <c r="T26" s="75">
        <f>IF(ISNA(INDEX(RobotDesignResults[Robot Design Score],MATCH(TournamentData[[#This Row],[Team Number]],RobotDesignResults[Team Number],0))),0,INDEX(RobotDesignResults[Robot Design Score],MATCH(TournamentData[[#This Row],[Team Number]],RobotDesignResults[Team Number],0)))</f>
        <v/>
      </c>
      <c r="U2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6" s="74">
        <f>IF(U3,_xlfn.RANK.EQ(U3,U$3:U$3,0),NumberOfTeams)</f>
        <v/>
      </c>
      <c r="W26"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26">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26" showDropDown="0" showInputMessage="0" showErrorMessage="0" allowBlank="1" type="list">
      <formula1>Awards</formula1>
    </dataValidation>
    <dataValidation sqref="Q3:Q26"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25"/>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2392</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10157</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10159</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10321</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12734</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27239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31289</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34066</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35580</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37711</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39343</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48747</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53752</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53753</v>
      </c>
      <c r="B15" s="106">
        <f>INDEX(OfficialTeamList[Team Name],MATCH(RobotGameScores[[#This Row],[Team Number]], OfficialTeamList[Team '#],0))</f>
        <v/>
      </c>
      <c r="C15" s="107" t="n"/>
      <c r="D15" s="107" t="n"/>
      <c r="E15" s="107" t="n"/>
      <c r="F15" s="77">
        <f>MAX(RobotGameScores[[#This Row],[Robot Game 1 Score]:[Robot Game 3 Score]])</f>
        <v/>
      </c>
    </row>
    <row r="16" ht="21" customHeight="1">
      <c r="A16" s="104" t="n">
        <v>53754</v>
      </c>
      <c r="B16" s="106">
        <f>INDEX(OfficialTeamList[Team Name],MATCH(RobotGameScores[[#This Row],[Team Number]], OfficialTeamList[Team '#],0))</f>
        <v/>
      </c>
      <c r="C16" s="107" t="n"/>
      <c r="D16" s="107" t="n"/>
      <c r="E16" s="107" t="n"/>
      <c r="F16" s="77">
        <f>MAX(RobotGameScores[[#This Row],[Robot Game 1 Score]:[Robot Game 3 Score]])</f>
        <v/>
      </c>
    </row>
    <row r="17" ht="21" customHeight="1">
      <c r="A17" s="104" t="n">
        <v>53755</v>
      </c>
      <c r="B17" s="106">
        <f>INDEX(OfficialTeamList[Team Name],MATCH(RobotGameScores[[#This Row],[Team Number]], OfficialTeamList[Team '#],0))</f>
        <v/>
      </c>
      <c r="C17" s="107" t="n"/>
      <c r="D17" s="107" t="n"/>
      <c r="E17" s="107" t="n"/>
      <c r="F17" s="77">
        <f>MAX(RobotGameScores[[#This Row],[Robot Game 1 Score]:[Robot Game 3 Score]])</f>
        <v/>
      </c>
    </row>
    <row r="18" ht="21" customHeight="1">
      <c r="A18" s="104" t="n">
        <v>60140</v>
      </c>
      <c r="B18" s="106">
        <f>INDEX(OfficialTeamList[Team Name],MATCH(RobotGameScores[[#This Row],[Team Number]], OfficialTeamList[Team '#],0))</f>
        <v/>
      </c>
      <c r="C18" s="107" t="n"/>
      <c r="D18" s="107" t="n"/>
      <c r="E18" s="107" t="n"/>
      <c r="F18" s="77">
        <f>MAX(RobotGameScores[[#This Row],[Robot Game 1 Score]:[Robot Game 3 Score]])</f>
        <v/>
      </c>
    </row>
    <row r="19" ht="21" customHeight="1">
      <c r="A19" s="104" t="n">
        <v>60906</v>
      </c>
      <c r="B19" s="106">
        <f>INDEX(OfficialTeamList[Team Name],MATCH(RobotGameScores[[#This Row],[Team Number]], OfficialTeamList[Team '#],0))</f>
        <v/>
      </c>
      <c r="C19" s="107" t="n"/>
      <c r="D19" s="107" t="n"/>
      <c r="E19" s="107" t="n"/>
      <c r="F19" s="77">
        <f>MAX(RobotGameScores[[#This Row],[Robot Game 1 Score]:[Robot Game 3 Score]])</f>
        <v/>
      </c>
    </row>
    <row r="20" ht="21" customHeight="1">
      <c r="A20" s="104" t="n">
        <v>60907</v>
      </c>
      <c r="B20" s="106">
        <f>INDEX(OfficialTeamList[Team Name],MATCH(RobotGameScores[[#This Row],[Team Number]], OfficialTeamList[Team '#],0))</f>
        <v/>
      </c>
      <c r="C20" s="107" t="n"/>
      <c r="D20" s="107" t="n"/>
      <c r="E20" s="107" t="n"/>
      <c r="F20" s="77">
        <f>MAX(RobotGameScores[[#This Row],[Robot Game 1 Score]:[Robot Game 3 Score]])</f>
        <v/>
      </c>
    </row>
    <row r="21" ht="21" customHeight="1">
      <c r="A21" s="104" t="n">
        <v>61461</v>
      </c>
      <c r="B21" s="106">
        <f>INDEX(OfficialTeamList[Team Name],MATCH(RobotGameScores[[#This Row],[Team Number]], OfficialTeamList[Team '#],0))</f>
        <v/>
      </c>
      <c r="C21" s="107" t="n"/>
      <c r="D21" s="107" t="n"/>
      <c r="E21" s="107" t="n"/>
      <c r="F21" s="77">
        <f>MAX(RobotGameScores[[#This Row],[Robot Game 1 Score]:[Robot Game 3 Score]])</f>
        <v/>
      </c>
    </row>
    <row r="22" ht="21" customHeight="1">
      <c r="A22" s="104" t="n">
        <v>67022</v>
      </c>
      <c r="B22" s="106">
        <f>INDEX(OfficialTeamList[Team Name],MATCH(RobotGameScores[[#This Row],[Team Number]], OfficialTeamList[Team '#],0))</f>
        <v/>
      </c>
      <c r="C22" s="107" t="n"/>
      <c r="D22" s="107" t="n"/>
      <c r="E22" s="107" t="n"/>
      <c r="F22" s="77">
        <f>MAX(RobotGameScores[[#This Row],[Robot Game 1 Score]:[Robot Game 3 Score]])</f>
        <v/>
      </c>
    </row>
    <row r="23" ht="21" customHeight="1">
      <c r="A23" s="104" t="n">
        <v>69306</v>
      </c>
      <c r="B23" s="106">
        <f>INDEX(OfficialTeamList[Team Name],MATCH(RobotGameScores[[#This Row],[Team Number]], OfficialTeamList[Team '#],0))</f>
        <v/>
      </c>
      <c r="C23" s="107" t="n"/>
      <c r="D23" s="107" t="n"/>
      <c r="E23" s="107" t="n"/>
      <c r="F23" s="77">
        <f>MAX(RobotGameScores[[#This Row],[Robot Game 1 Score]:[Robot Game 3 Score]])</f>
        <v/>
      </c>
    </row>
    <row r="24" ht="21" customHeight="1">
      <c r="A24" s="104" t="n">
        <v>72747</v>
      </c>
      <c r="B24" s="106">
        <f>INDEX(OfficialTeamList[Team Name],MATCH(RobotGameScores[[#This Row],[Team Number]], OfficialTeamList[Team '#],0))</f>
        <v/>
      </c>
      <c r="C24" s="107" t="n"/>
      <c r="D24" s="107" t="n"/>
      <c r="E24" s="107" t="n"/>
      <c r="F24" s="77">
        <f>MAX(RobotGameScores[[#This Row],[Robot Game 1 Score]:[Robot Game 3 Score]])</f>
        <v/>
      </c>
    </row>
    <row r="25" ht="21" customHeight="1">
      <c r="A25" s="104" t="n">
        <v>74225</v>
      </c>
      <c r="B25" s="106">
        <f>INDEX(OfficialTeamList[Team Name],MATCH(RobotGameScores[[#This Row],[Team Number]], OfficialTeamList[Team '#],0))</f>
        <v/>
      </c>
      <c r="C25" s="107" t="n"/>
      <c r="D25" s="107" t="n"/>
      <c r="E25" s="107" t="n"/>
      <c r="F25"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25"/>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2392</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10157</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10159</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10321</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12734</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27239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31289</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34066</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35580</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37711</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39343</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48747</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53752</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53753</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row r="16" ht="21" customHeight="1">
      <c r="A16" s="104" t="n">
        <v>53754</v>
      </c>
      <c r="B16" s="104">
        <f>INDEX(OfficialTeamList[Pod Number],MATCH(InnovationProjectResults[[#This Row],[Team Number]], OfficialTeamList[Team '#],0))</f>
        <v/>
      </c>
      <c r="C16" s="106">
        <f>INDEX(OfficialTeamList[Team Name],MATCH(InnovationProjectResults[[#This Row],[Team Number]], OfficialTeamList[Team '#],0))</f>
        <v/>
      </c>
      <c r="D16" s="107" t="n"/>
      <c r="E16" s="107" t="n"/>
      <c r="F16" s="107" t="n"/>
      <c r="G16" s="107" t="n"/>
      <c r="H16" s="107" t="n"/>
      <c r="I16" s="107" t="n"/>
      <c r="J16" s="107" t="n"/>
      <c r="K16" s="107" t="n"/>
      <c r="L16" s="107" t="n"/>
      <c r="M16" s="107" t="n"/>
      <c r="N16" s="77">
        <f>SUM(InnovationProjectResults[[#This Row],[Identify - Define]:[Communicate - Fun (CV)]])</f>
        <v/>
      </c>
      <c r="O16" s="70">
        <f>_xlfn.RANK.EQ(InnovationProjectResults[[#This Row],[Innovation Project Score]],InnovationProjectResults[Innovation Project Score],0)</f>
        <v/>
      </c>
    </row>
    <row r="17" ht="21" customHeight="1">
      <c r="A17" s="104" t="n">
        <v>53755</v>
      </c>
      <c r="B17" s="104">
        <f>INDEX(OfficialTeamList[Pod Number],MATCH(InnovationProjectResults[[#This Row],[Team Number]], OfficialTeamList[Team '#],0))</f>
        <v/>
      </c>
      <c r="C17" s="106">
        <f>INDEX(OfficialTeamList[Team Name],MATCH(InnovationProjectResults[[#This Row],[Team Number]], OfficialTeamList[Team '#],0))</f>
        <v/>
      </c>
      <c r="D17" s="107" t="n"/>
      <c r="E17" s="107" t="n"/>
      <c r="F17" s="107" t="n"/>
      <c r="G17" s="107" t="n"/>
      <c r="H17" s="107" t="n"/>
      <c r="I17" s="107" t="n"/>
      <c r="J17" s="107" t="n"/>
      <c r="K17" s="107" t="n"/>
      <c r="L17" s="107" t="n"/>
      <c r="M17" s="107" t="n"/>
      <c r="N17" s="77">
        <f>SUM(InnovationProjectResults[[#This Row],[Identify - Define]:[Communicate - Fun (CV)]])</f>
        <v/>
      </c>
      <c r="O17" s="70">
        <f>_xlfn.RANK.EQ(InnovationProjectResults[[#This Row],[Innovation Project Score]],InnovationProjectResults[Innovation Project Score],0)</f>
        <v/>
      </c>
    </row>
    <row r="18" ht="21" customHeight="1">
      <c r="A18" s="104" t="n">
        <v>60140</v>
      </c>
      <c r="B18" s="104">
        <f>INDEX(OfficialTeamList[Pod Number],MATCH(InnovationProjectResults[[#This Row],[Team Number]], OfficialTeamList[Team '#],0))</f>
        <v/>
      </c>
      <c r="C18" s="106">
        <f>INDEX(OfficialTeamList[Team Name],MATCH(InnovationProjectResults[[#This Row],[Team Number]], OfficialTeamList[Team '#],0))</f>
        <v/>
      </c>
      <c r="D18" s="107" t="n"/>
      <c r="E18" s="107" t="n"/>
      <c r="F18" s="107" t="n"/>
      <c r="G18" s="107" t="n"/>
      <c r="H18" s="107" t="n"/>
      <c r="I18" s="107" t="n"/>
      <c r="J18" s="107" t="n"/>
      <c r="K18" s="107" t="n"/>
      <c r="L18" s="107" t="n"/>
      <c r="M18" s="107" t="n"/>
      <c r="N18" s="77">
        <f>SUM(InnovationProjectResults[[#This Row],[Identify - Define]:[Communicate - Fun (CV)]])</f>
        <v/>
      </c>
      <c r="O18" s="70">
        <f>_xlfn.RANK.EQ(InnovationProjectResults[[#This Row],[Innovation Project Score]],InnovationProjectResults[Innovation Project Score],0)</f>
        <v/>
      </c>
    </row>
    <row r="19" ht="21" customHeight="1">
      <c r="A19" s="104" t="n">
        <v>60906</v>
      </c>
      <c r="B19" s="104">
        <f>INDEX(OfficialTeamList[Pod Number],MATCH(InnovationProjectResults[[#This Row],[Team Number]], OfficialTeamList[Team '#],0))</f>
        <v/>
      </c>
      <c r="C19" s="106">
        <f>INDEX(OfficialTeamList[Team Name],MATCH(InnovationProjectResults[[#This Row],[Team Number]], OfficialTeamList[Team '#],0))</f>
        <v/>
      </c>
      <c r="D19" s="107" t="n"/>
      <c r="E19" s="107" t="n"/>
      <c r="F19" s="107" t="n"/>
      <c r="G19" s="107" t="n"/>
      <c r="H19" s="107" t="n"/>
      <c r="I19" s="107" t="n"/>
      <c r="J19" s="107" t="n"/>
      <c r="K19" s="107" t="n"/>
      <c r="L19" s="107" t="n"/>
      <c r="M19" s="107" t="n"/>
      <c r="N19" s="77">
        <f>SUM(InnovationProjectResults[[#This Row],[Identify - Define]:[Communicate - Fun (CV)]])</f>
        <v/>
      </c>
      <c r="O19" s="70">
        <f>_xlfn.RANK.EQ(InnovationProjectResults[[#This Row],[Innovation Project Score]],InnovationProjectResults[Innovation Project Score],0)</f>
        <v/>
      </c>
    </row>
    <row r="20" ht="21" customHeight="1">
      <c r="A20" s="104" t="n">
        <v>60907</v>
      </c>
      <c r="B20" s="104">
        <f>INDEX(OfficialTeamList[Pod Number],MATCH(InnovationProjectResults[[#This Row],[Team Number]], OfficialTeamList[Team '#],0))</f>
        <v/>
      </c>
      <c r="C20" s="106">
        <f>INDEX(OfficialTeamList[Team Name],MATCH(InnovationProjectResults[[#This Row],[Team Number]], OfficialTeamList[Team '#],0))</f>
        <v/>
      </c>
      <c r="D20" s="107" t="n"/>
      <c r="E20" s="107" t="n"/>
      <c r="F20" s="107" t="n"/>
      <c r="G20" s="107" t="n"/>
      <c r="H20" s="107" t="n"/>
      <c r="I20" s="107" t="n"/>
      <c r="J20" s="107" t="n"/>
      <c r="K20" s="107" t="n"/>
      <c r="L20" s="107" t="n"/>
      <c r="M20" s="107" t="n"/>
      <c r="N20" s="77">
        <f>SUM(InnovationProjectResults[[#This Row],[Identify - Define]:[Communicate - Fun (CV)]])</f>
        <v/>
      </c>
      <c r="O20" s="70">
        <f>_xlfn.RANK.EQ(InnovationProjectResults[[#This Row],[Innovation Project Score]],InnovationProjectResults[Innovation Project Score],0)</f>
        <v/>
      </c>
    </row>
    <row r="21" ht="21" customHeight="1">
      <c r="A21" s="104" t="n">
        <v>61461</v>
      </c>
      <c r="B21" s="104">
        <f>INDEX(OfficialTeamList[Pod Number],MATCH(InnovationProjectResults[[#This Row],[Team Number]], OfficialTeamList[Team '#],0))</f>
        <v/>
      </c>
      <c r="C21" s="106">
        <f>INDEX(OfficialTeamList[Team Name],MATCH(InnovationProjectResults[[#This Row],[Team Number]], OfficialTeamList[Team '#],0))</f>
        <v/>
      </c>
      <c r="D21" s="107" t="n"/>
      <c r="E21" s="107" t="n"/>
      <c r="F21" s="107" t="n"/>
      <c r="G21" s="107" t="n"/>
      <c r="H21" s="107" t="n"/>
      <c r="I21" s="107" t="n"/>
      <c r="J21" s="107" t="n"/>
      <c r="K21" s="107" t="n"/>
      <c r="L21" s="107" t="n"/>
      <c r="M21" s="107" t="n"/>
      <c r="N21" s="77">
        <f>SUM(InnovationProjectResults[[#This Row],[Identify - Define]:[Communicate - Fun (CV)]])</f>
        <v/>
      </c>
      <c r="O21" s="70">
        <f>_xlfn.RANK.EQ(InnovationProjectResults[[#This Row],[Innovation Project Score]],InnovationProjectResults[Innovation Project Score],0)</f>
        <v/>
      </c>
    </row>
    <row r="22" ht="21" customHeight="1">
      <c r="A22" s="104" t="n">
        <v>67022</v>
      </c>
      <c r="B22" s="104">
        <f>INDEX(OfficialTeamList[Pod Number],MATCH(InnovationProjectResults[[#This Row],[Team Number]], OfficialTeamList[Team '#],0))</f>
        <v/>
      </c>
      <c r="C22" s="106">
        <f>INDEX(OfficialTeamList[Team Name],MATCH(InnovationProjectResults[[#This Row],[Team Number]], OfficialTeamList[Team '#],0))</f>
        <v/>
      </c>
      <c r="D22" s="107" t="n"/>
      <c r="E22" s="107" t="n"/>
      <c r="F22" s="107" t="n"/>
      <c r="G22" s="107" t="n"/>
      <c r="H22" s="107" t="n"/>
      <c r="I22" s="107" t="n"/>
      <c r="J22" s="107" t="n"/>
      <c r="K22" s="107" t="n"/>
      <c r="L22" s="107" t="n"/>
      <c r="M22" s="107" t="n"/>
      <c r="N22" s="77">
        <f>SUM(InnovationProjectResults[[#This Row],[Identify - Define]:[Communicate - Fun (CV)]])</f>
        <v/>
      </c>
      <c r="O22" s="70">
        <f>_xlfn.RANK.EQ(InnovationProjectResults[[#This Row],[Innovation Project Score]],InnovationProjectResults[Innovation Project Score],0)</f>
        <v/>
      </c>
    </row>
    <row r="23" ht="21" customHeight="1">
      <c r="A23" s="104" t="n">
        <v>69306</v>
      </c>
      <c r="B23" s="104">
        <f>INDEX(OfficialTeamList[Pod Number],MATCH(InnovationProjectResults[[#This Row],[Team Number]], OfficialTeamList[Team '#],0))</f>
        <v/>
      </c>
      <c r="C23" s="106">
        <f>INDEX(OfficialTeamList[Team Name],MATCH(InnovationProjectResults[[#This Row],[Team Number]], OfficialTeamList[Team '#],0))</f>
        <v/>
      </c>
      <c r="D23" s="107" t="n"/>
      <c r="E23" s="107" t="n"/>
      <c r="F23" s="107" t="n"/>
      <c r="G23" s="107" t="n"/>
      <c r="H23" s="107" t="n"/>
      <c r="I23" s="107" t="n"/>
      <c r="J23" s="107" t="n"/>
      <c r="K23" s="107" t="n"/>
      <c r="L23" s="107" t="n"/>
      <c r="M23" s="107" t="n"/>
      <c r="N23" s="77">
        <f>SUM(InnovationProjectResults[[#This Row],[Identify - Define]:[Communicate - Fun (CV)]])</f>
        <v/>
      </c>
      <c r="O23" s="70">
        <f>_xlfn.RANK.EQ(InnovationProjectResults[[#This Row],[Innovation Project Score]],InnovationProjectResults[Innovation Project Score],0)</f>
        <v/>
      </c>
    </row>
    <row r="24" ht="21" customHeight="1">
      <c r="A24" s="104" t="n">
        <v>72747</v>
      </c>
      <c r="B24" s="104">
        <f>INDEX(OfficialTeamList[Pod Number],MATCH(InnovationProjectResults[[#This Row],[Team Number]], OfficialTeamList[Team '#],0))</f>
        <v/>
      </c>
      <c r="C24" s="106">
        <f>INDEX(OfficialTeamList[Team Name],MATCH(InnovationProjectResults[[#This Row],[Team Number]], OfficialTeamList[Team '#],0))</f>
        <v/>
      </c>
      <c r="D24" s="107" t="n"/>
      <c r="E24" s="107" t="n"/>
      <c r="F24" s="107" t="n"/>
      <c r="G24" s="107" t="n"/>
      <c r="H24" s="107" t="n"/>
      <c r="I24" s="107" t="n"/>
      <c r="J24" s="107" t="n"/>
      <c r="K24" s="107" t="n"/>
      <c r="L24" s="107" t="n"/>
      <c r="M24" s="107" t="n"/>
      <c r="N24" s="77">
        <f>SUM(InnovationProjectResults[[#This Row],[Identify - Define]:[Communicate - Fun (CV)]])</f>
        <v/>
      </c>
      <c r="O24" s="70">
        <f>_xlfn.RANK.EQ(InnovationProjectResults[[#This Row],[Innovation Project Score]],InnovationProjectResults[Innovation Project Score],0)</f>
        <v/>
      </c>
    </row>
    <row r="25" ht="21" customHeight="1">
      <c r="A25" s="104" t="n">
        <v>74225</v>
      </c>
      <c r="B25" s="104">
        <f>INDEX(OfficialTeamList[Pod Number],MATCH(InnovationProjectResults[[#This Row],[Team Number]], OfficialTeamList[Team '#],0))</f>
        <v/>
      </c>
      <c r="C25" s="106">
        <f>INDEX(OfficialTeamList[Team Name],MATCH(InnovationProjectResults[[#This Row],[Team Number]], OfficialTeamList[Team '#],0))</f>
        <v/>
      </c>
      <c r="D25" s="107" t="n"/>
      <c r="E25" s="107" t="n"/>
      <c r="F25" s="107" t="n"/>
      <c r="G25" s="107" t="n"/>
      <c r="H25" s="107" t="n"/>
      <c r="I25" s="107" t="n"/>
      <c r="J25" s="107" t="n"/>
      <c r="K25" s="107" t="n"/>
      <c r="L25" s="107" t="n"/>
      <c r="M25" s="107" t="n"/>
      <c r="N25" s="77">
        <f>SUM(InnovationProjectResults[[#This Row],[Identify - Define]:[Communicate - Fun (CV)]])</f>
        <v/>
      </c>
      <c r="O25"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25"/>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2392</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10157</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10159</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10321</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12734</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27239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31289</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34066</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35580</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37711</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39343</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48747</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53752</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53753</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row r="16" ht="21" customHeight="1">
      <c r="A16" s="104" t="n">
        <v>53754</v>
      </c>
      <c r="B16" s="104">
        <f>INDEX(OfficialTeamList[Pod Number],MATCH(RobotDesignResults[[#This Row],[Team Number]], OfficialTeamList[Team '#],0))</f>
        <v/>
      </c>
      <c r="C16" s="106">
        <f>INDEX(OfficialTeamList[Team Name],MATCH(RobotDesignResults[[#This Row],[Team Number]], OfficialTeamList[Team '#],0))</f>
        <v/>
      </c>
      <c r="D16" s="107" t="n"/>
      <c r="E16" s="107" t="n"/>
      <c r="F16" s="107" t="n"/>
      <c r="G16" s="107" t="n"/>
      <c r="H16" s="107" t="n"/>
      <c r="I16" s="107" t="n"/>
      <c r="J16" s="107" t="n"/>
      <c r="K16" s="107" t="n"/>
      <c r="L16" s="107" t="n"/>
      <c r="M16" s="107" t="n"/>
      <c r="N16" s="77">
        <f>SUM(RobotDesignResults[[#This Row],[Identify - Strategy]:[Communicate - Fun (CV)]])</f>
        <v/>
      </c>
      <c r="O16" s="70">
        <f>_xlfn.RANK.EQ(RobotDesignResults[[#This Row],[Robot Design Score]],RobotDesignResults[Robot Design Score],0)</f>
        <v/>
      </c>
    </row>
    <row r="17" ht="21" customHeight="1">
      <c r="A17" s="104" t="n">
        <v>53755</v>
      </c>
      <c r="B17" s="104">
        <f>INDEX(OfficialTeamList[Pod Number],MATCH(RobotDesignResults[[#This Row],[Team Number]], OfficialTeamList[Team '#],0))</f>
        <v/>
      </c>
      <c r="C17" s="106">
        <f>INDEX(OfficialTeamList[Team Name],MATCH(RobotDesignResults[[#This Row],[Team Number]], OfficialTeamList[Team '#],0))</f>
        <v/>
      </c>
      <c r="D17" s="107" t="n"/>
      <c r="E17" s="107" t="n"/>
      <c r="F17" s="107" t="n"/>
      <c r="G17" s="107" t="n"/>
      <c r="H17" s="107" t="n"/>
      <c r="I17" s="107" t="n"/>
      <c r="J17" s="107" t="n"/>
      <c r="K17" s="107" t="n"/>
      <c r="L17" s="107" t="n"/>
      <c r="M17" s="107" t="n"/>
      <c r="N17" s="77">
        <f>SUM(RobotDesignResults[[#This Row],[Identify - Strategy]:[Communicate - Fun (CV)]])</f>
        <v/>
      </c>
      <c r="O17" s="70">
        <f>_xlfn.RANK.EQ(RobotDesignResults[[#This Row],[Robot Design Score]],RobotDesignResults[Robot Design Score],0)</f>
        <v/>
      </c>
    </row>
    <row r="18" ht="21" customHeight="1">
      <c r="A18" s="104" t="n">
        <v>60140</v>
      </c>
      <c r="B18" s="104">
        <f>INDEX(OfficialTeamList[Pod Number],MATCH(RobotDesignResults[[#This Row],[Team Number]], OfficialTeamList[Team '#],0))</f>
        <v/>
      </c>
      <c r="C18" s="106">
        <f>INDEX(OfficialTeamList[Team Name],MATCH(RobotDesignResults[[#This Row],[Team Number]], OfficialTeamList[Team '#],0))</f>
        <v/>
      </c>
      <c r="D18" s="107" t="n"/>
      <c r="E18" s="107" t="n"/>
      <c r="F18" s="107" t="n"/>
      <c r="G18" s="107" t="n"/>
      <c r="H18" s="107" t="n"/>
      <c r="I18" s="107" t="n"/>
      <c r="J18" s="107" t="n"/>
      <c r="K18" s="107" t="n"/>
      <c r="L18" s="107" t="n"/>
      <c r="M18" s="107" t="n"/>
      <c r="N18" s="77">
        <f>SUM(RobotDesignResults[[#This Row],[Identify - Strategy]:[Communicate - Fun (CV)]])</f>
        <v/>
      </c>
      <c r="O18" s="70">
        <f>_xlfn.RANK.EQ(RobotDesignResults[[#This Row],[Robot Design Score]],RobotDesignResults[Robot Design Score],0)</f>
        <v/>
      </c>
    </row>
    <row r="19" ht="21" customHeight="1">
      <c r="A19" s="104" t="n">
        <v>60906</v>
      </c>
      <c r="B19" s="104">
        <f>INDEX(OfficialTeamList[Pod Number],MATCH(RobotDesignResults[[#This Row],[Team Number]], OfficialTeamList[Team '#],0))</f>
        <v/>
      </c>
      <c r="C19" s="106">
        <f>INDEX(OfficialTeamList[Team Name],MATCH(RobotDesignResults[[#This Row],[Team Number]], OfficialTeamList[Team '#],0))</f>
        <v/>
      </c>
      <c r="D19" s="107" t="n"/>
      <c r="E19" s="107" t="n"/>
      <c r="F19" s="107" t="n"/>
      <c r="G19" s="107" t="n"/>
      <c r="H19" s="107" t="n"/>
      <c r="I19" s="107" t="n"/>
      <c r="J19" s="107" t="n"/>
      <c r="K19" s="107" t="n"/>
      <c r="L19" s="107" t="n"/>
      <c r="M19" s="107" t="n"/>
      <c r="N19" s="77">
        <f>SUM(RobotDesignResults[[#This Row],[Identify - Strategy]:[Communicate - Fun (CV)]])</f>
        <v/>
      </c>
      <c r="O19" s="70">
        <f>_xlfn.RANK.EQ(RobotDesignResults[[#This Row],[Robot Design Score]],RobotDesignResults[Robot Design Score],0)</f>
        <v/>
      </c>
    </row>
    <row r="20" ht="21" customHeight="1">
      <c r="A20" s="104" t="n">
        <v>60907</v>
      </c>
      <c r="B20" s="104">
        <f>INDEX(OfficialTeamList[Pod Number],MATCH(RobotDesignResults[[#This Row],[Team Number]], OfficialTeamList[Team '#],0))</f>
        <v/>
      </c>
      <c r="C20" s="106">
        <f>INDEX(OfficialTeamList[Team Name],MATCH(RobotDesignResults[[#This Row],[Team Number]], OfficialTeamList[Team '#],0))</f>
        <v/>
      </c>
      <c r="D20" s="107" t="n"/>
      <c r="E20" s="107" t="n"/>
      <c r="F20" s="107" t="n"/>
      <c r="G20" s="107" t="n"/>
      <c r="H20" s="107" t="n"/>
      <c r="I20" s="107" t="n"/>
      <c r="J20" s="107" t="n"/>
      <c r="K20" s="107" t="n"/>
      <c r="L20" s="107" t="n"/>
      <c r="M20" s="107" t="n"/>
      <c r="N20" s="77">
        <f>SUM(RobotDesignResults[[#This Row],[Identify - Strategy]:[Communicate - Fun (CV)]])</f>
        <v/>
      </c>
      <c r="O20" s="70">
        <f>_xlfn.RANK.EQ(RobotDesignResults[[#This Row],[Robot Design Score]],RobotDesignResults[Robot Design Score],0)</f>
        <v/>
      </c>
    </row>
    <row r="21" ht="21" customHeight="1">
      <c r="A21" s="104" t="n">
        <v>61461</v>
      </c>
      <c r="B21" s="104">
        <f>INDEX(OfficialTeamList[Pod Number],MATCH(RobotDesignResults[[#This Row],[Team Number]], OfficialTeamList[Team '#],0))</f>
        <v/>
      </c>
      <c r="C21" s="106">
        <f>INDEX(OfficialTeamList[Team Name],MATCH(RobotDesignResults[[#This Row],[Team Number]], OfficialTeamList[Team '#],0))</f>
        <v/>
      </c>
      <c r="D21" s="107" t="n"/>
      <c r="E21" s="107" t="n"/>
      <c r="F21" s="107" t="n"/>
      <c r="G21" s="107" t="n"/>
      <c r="H21" s="107" t="n"/>
      <c r="I21" s="107" t="n"/>
      <c r="J21" s="107" t="n"/>
      <c r="K21" s="107" t="n"/>
      <c r="L21" s="107" t="n"/>
      <c r="M21" s="107" t="n"/>
      <c r="N21" s="77">
        <f>SUM(RobotDesignResults[[#This Row],[Identify - Strategy]:[Communicate - Fun (CV)]])</f>
        <v/>
      </c>
      <c r="O21" s="70">
        <f>_xlfn.RANK.EQ(RobotDesignResults[[#This Row],[Robot Design Score]],RobotDesignResults[Robot Design Score],0)</f>
        <v/>
      </c>
    </row>
    <row r="22" ht="21" customHeight="1">
      <c r="A22" s="104" t="n">
        <v>67022</v>
      </c>
      <c r="B22" s="104">
        <f>INDEX(OfficialTeamList[Pod Number],MATCH(RobotDesignResults[[#This Row],[Team Number]], OfficialTeamList[Team '#],0))</f>
        <v/>
      </c>
      <c r="C22" s="106">
        <f>INDEX(OfficialTeamList[Team Name],MATCH(RobotDesignResults[[#This Row],[Team Number]], OfficialTeamList[Team '#],0))</f>
        <v/>
      </c>
      <c r="D22" s="107" t="n"/>
      <c r="E22" s="107" t="n"/>
      <c r="F22" s="107" t="n"/>
      <c r="G22" s="107" t="n"/>
      <c r="H22" s="107" t="n"/>
      <c r="I22" s="107" t="n"/>
      <c r="J22" s="107" t="n"/>
      <c r="K22" s="107" t="n"/>
      <c r="L22" s="107" t="n"/>
      <c r="M22" s="107" t="n"/>
      <c r="N22" s="77">
        <f>SUM(RobotDesignResults[[#This Row],[Identify - Strategy]:[Communicate - Fun (CV)]])</f>
        <v/>
      </c>
      <c r="O22" s="70">
        <f>_xlfn.RANK.EQ(RobotDesignResults[[#This Row],[Robot Design Score]],RobotDesignResults[Robot Design Score],0)</f>
        <v/>
      </c>
    </row>
    <row r="23" ht="21" customHeight="1">
      <c r="A23" s="104" t="n">
        <v>69306</v>
      </c>
      <c r="B23" s="104">
        <f>INDEX(OfficialTeamList[Pod Number],MATCH(RobotDesignResults[[#This Row],[Team Number]], OfficialTeamList[Team '#],0))</f>
        <v/>
      </c>
      <c r="C23" s="106">
        <f>INDEX(OfficialTeamList[Team Name],MATCH(RobotDesignResults[[#This Row],[Team Number]], OfficialTeamList[Team '#],0))</f>
        <v/>
      </c>
      <c r="D23" s="107" t="n"/>
      <c r="E23" s="107" t="n"/>
      <c r="F23" s="107" t="n"/>
      <c r="G23" s="107" t="n"/>
      <c r="H23" s="107" t="n"/>
      <c r="I23" s="107" t="n"/>
      <c r="J23" s="107" t="n"/>
      <c r="K23" s="107" t="n"/>
      <c r="L23" s="107" t="n"/>
      <c r="M23" s="107" t="n"/>
      <c r="N23" s="77">
        <f>SUM(RobotDesignResults[[#This Row],[Identify - Strategy]:[Communicate - Fun (CV)]])</f>
        <v/>
      </c>
      <c r="O23" s="70">
        <f>_xlfn.RANK.EQ(RobotDesignResults[[#This Row],[Robot Design Score]],RobotDesignResults[Robot Design Score],0)</f>
        <v/>
      </c>
    </row>
    <row r="24" ht="21" customHeight="1">
      <c r="A24" s="104" t="n">
        <v>72747</v>
      </c>
      <c r="B24" s="104">
        <f>INDEX(OfficialTeamList[Pod Number],MATCH(RobotDesignResults[[#This Row],[Team Number]], OfficialTeamList[Team '#],0))</f>
        <v/>
      </c>
      <c r="C24" s="106">
        <f>INDEX(OfficialTeamList[Team Name],MATCH(RobotDesignResults[[#This Row],[Team Number]], OfficialTeamList[Team '#],0))</f>
        <v/>
      </c>
      <c r="D24" s="107" t="n"/>
      <c r="E24" s="107" t="n"/>
      <c r="F24" s="107" t="n"/>
      <c r="G24" s="107" t="n"/>
      <c r="H24" s="107" t="n"/>
      <c r="I24" s="107" t="n"/>
      <c r="J24" s="107" t="n"/>
      <c r="K24" s="107" t="n"/>
      <c r="L24" s="107" t="n"/>
      <c r="M24" s="107" t="n"/>
      <c r="N24" s="77">
        <f>SUM(RobotDesignResults[[#This Row],[Identify - Strategy]:[Communicate - Fun (CV)]])</f>
        <v/>
      </c>
      <c r="O24" s="70">
        <f>_xlfn.RANK.EQ(RobotDesignResults[[#This Row],[Robot Design Score]],RobotDesignResults[Robot Design Score],0)</f>
        <v/>
      </c>
    </row>
    <row r="25" ht="21" customHeight="1">
      <c r="A25" s="104" t="n">
        <v>74225</v>
      </c>
      <c r="B25" s="104">
        <f>INDEX(OfficialTeamList[Pod Number],MATCH(RobotDesignResults[[#This Row],[Team Number]], OfficialTeamList[Team '#],0))</f>
        <v/>
      </c>
      <c r="C25" s="106">
        <f>INDEX(OfficialTeamList[Team Name],MATCH(RobotDesignResults[[#This Row],[Team Number]], OfficialTeamList[Team '#],0))</f>
        <v/>
      </c>
      <c r="D25" s="107" t="n"/>
      <c r="E25" s="107" t="n"/>
      <c r="F25" s="107" t="n"/>
      <c r="G25" s="107" t="n"/>
      <c r="H25" s="107" t="n"/>
      <c r="I25" s="107" t="n"/>
      <c r="J25" s="107" t="n"/>
      <c r="K25" s="107" t="n"/>
      <c r="L25" s="107" t="n"/>
      <c r="M25" s="107" t="n"/>
      <c r="N25" s="77">
        <f>SUM(RobotDesignResults[[#This Row],[Identify - Strategy]:[Communicate - Fun (CV)]])</f>
        <v/>
      </c>
      <c r="O25"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25"/>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2392</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10157</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10159</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10321</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12734</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27239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31289</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34066</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35580</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37711</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39343</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48747</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53752</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53753</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row r="16" ht="21" customHeight="1">
      <c r="A16" s="104" t="n">
        <v>53754</v>
      </c>
      <c r="B16" s="104">
        <f>INDEX(OfficialTeamList[Pod Number],MATCH(CoreValuesResults[[#This Row],[Team Number]], OfficialTeamList[Team '#],0))</f>
        <v/>
      </c>
      <c r="C16" s="106">
        <f>INDEX(OfficialTeamList[Team Name],MATCH(CoreValuesResults[[#This Row],[Team Number]], OfficialTeamList[Team '#],0))</f>
        <v/>
      </c>
      <c r="D16" s="71">
        <f>INDEX(InnovationProjectResults[Identify - Research (CV)],MATCH(CoreValuesResults[[#This Row],[Team Number]],InnovationProjectResults[Team Number],0))</f>
        <v/>
      </c>
      <c r="E16" s="71">
        <f>INDEX(InnovationProjectResults[Design - Teamwork (CV)],MATCH(CoreValuesResults[[#This Row],[Team Number]],InnovationProjectResults[Team Number],0))</f>
        <v/>
      </c>
      <c r="F16" s="71">
        <f>INDEX(InnovationProjectResults[Create - Innovation (CV)],MATCH(CoreValuesResults[[#This Row],[Team Number]],InnovationProjectResults[Team Number],0))</f>
        <v/>
      </c>
      <c r="G16" s="71">
        <f>INDEX(InnovationProjectResults[Communicate - Impact (CV)],MATCH(CoreValuesResults[[#This Row],[Team Number]],InnovationProjectResults[Team Number],0))</f>
        <v/>
      </c>
      <c r="H16" s="71">
        <f>INDEX(InnovationProjectResults[Communicate - Fun (CV)],MATCH(CoreValuesResults[[#This Row],[Team Number]],InnovationProjectResults[Team Number],0))</f>
        <v/>
      </c>
      <c r="I16" s="71">
        <f>INDEX(RobotDesignResults[Identify - Research (CV)],MATCH(CoreValuesResults[[#This Row],[Team Number]],RobotDesignResults[Team Number],0))</f>
        <v/>
      </c>
      <c r="J16" s="71">
        <f>INDEX(RobotDesignResults[Design - Ideas (CV)],MATCH(CoreValuesResults[[#This Row],[Team Number]],RobotDesignResults[Team Number],0))</f>
        <v/>
      </c>
      <c r="K16" s="71">
        <f>INDEX(RobotDesignResults[Iterate - Improvements (CV)],MATCH(CoreValuesResults[[#This Row],[Team Number]],RobotDesignResults[Team Number],0))</f>
        <v/>
      </c>
      <c r="L16" s="71">
        <f>INDEX(RobotDesignResults[Communicate - Impact (CV)],MATCH(CoreValuesResults[[#This Row],[Team Number]],RobotDesignResults[Team Number],0))</f>
        <v/>
      </c>
      <c r="M16" s="71">
        <f>INDEX(RobotDesignResults[Communicate - Fun (CV)],MATCH(CoreValuesResults[[#This Row],[Team Number]],RobotDesignResults[Team Number],0))</f>
        <v/>
      </c>
      <c r="N16" s="78" t="n"/>
      <c r="O16" s="78" t="n"/>
      <c r="P16" s="78" t="n"/>
      <c r="Q16" s="104">
        <f>SUM(CoreValuesResults[[#This Row],[Gracious Professionalism 1]:[Gracious Professionalism 3]])</f>
        <v/>
      </c>
      <c r="R16" s="104">
        <f>SUM(N2:Q2)</f>
        <v/>
      </c>
      <c r="S16" s="77">
        <f>SUM(CoreValuesResults[[#This Row],[Identify - Research (CV-IP)]:[Communicate - Fun (CV-RD)]],CoreValuesResults[[#This Row],[Gracious Professionalism Score]])</f>
        <v/>
      </c>
      <c r="T16" s="70">
        <f>_xlfn.RANK.EQ(CoreValuesResults[[#This Row],[Core Values Score]],CoreValuesResults[Core Values Score],0)</f>
        <v/>
      </c>
    </row>
    <row r="17" ht="21" customHeight="1">
      <c r="A17" s="104" t="n">
        <v>53755</v>
      </c>
      <c r="B17" s="104">
        <f>INDEX(OfficialTeamList[Pod Number],MATCH(CoreValuesResults[[#This Row],[Team Number]], OfficialTeamList[Team '#],0))</f>
        <v/>
      </c>
      <c r="C17" s="106">
        <f>INDEX(OfficialTeamList[Team Name],MATCH(CoreValuesResults[[#This Row],[Team Number]], OfficialTeamList[Team '#],0))</f>
        <v/>
      </c>
      <c r="D17" s="71">
        <f>INDEX(InnovationProjectResults[Identify - Research (CV)],MATCH(CoreValuesResults[[#This Row],[Team Number]],InnovationProjectResults[Team Number],0))</f>
        <v/>
      </c>
      <c r="E17" s="71">
        <f>INDEX(InnovationProjectResults[Design - Teamwork (CV)],MATCH(CoreValuesResults[[#This Row],[Team Number]],InnovationProjectResults[Team Number],0))</f>
        <v/>
      </c>
      <c r="F17" s="71">
        <f>INDEX(InnovationProjectResults[Create - Innovation (CV)],MATCH(CoreValuesResults[[#This Row],[Team Number]],InnovationProjectResults[Team Number],0))</f>
        <v/>
      </c>
      <c r="G17" s="71">
        <f>INDEX(InnovationProjectResults[Communicate - Impact (CV)],MATCH(CoreValuesResults[[#This Row],[Team Number]],InnovationProjectResults[Team Number],0))</f>
        <v/>
      </c>
      <c r="H17" s="71">
        <f>INDEX(InnovationProjectResults[Communicate - Fun (CV)],MATCH(CoreValuesResults[[#This Row],[Team Number]],InnovationProjectResults[Team Number],0))</f>
        <v/>
      </c>
      <c r="I17" s="71">
        <f>INDEX(RobotDesignResults[Identify - Research (CV)],MATCH(CoreValuesResults[[#This Row],[Team Number]],RobotDesignResults[Team Number],0))</f>
        <v/>
      </c>
      <c r="J17" s="71">
        <f>INDEX(RobotDesignResults[Design - Ideas (CV)],MATCH(CoreValuesResults[[#This Row],[Team Number]],RobotDesignResults[Team Number],0))</f>
        <v/>
      </c>
      <c r="K17" s="71">
        <f>INDEX(RobotDesignResults[Iterate - Improvements (CV)],MATCH(CoreValuesResults[[#This Row],[Team Number]],RobotDesignResults[Team Number],0))</f>
        <v/>
      </c>
      <c r="L17" s="71">
        <f>INDEX(RobotDesignResults[Communicate - Impact (CV)],MATCH(CoreValuesResults[[#This Row],[Team Number]],RobotDesignResults[Team Number],0))</f>
        <v/>
      </c>
      <c r="M17" s="71">
        <f>INDEX(RobotDesignResults[Communicate - Fun (CV)],MATCH(CoreValuesResults[[#This Row],[Team Number]],RobotDesignResults[Team Number],0))</f>
        <v/>
      </c>
      <c r="N17" s="78" t="n"/>
      <c r="O17" s="78" t="n"/>
      <c r="P17" s="78" t="n"/>
      <c r="Q17" s="104">
        <f>SUM(CoreValuesResults[[#This Row],[Gracious Professionalism 1]:[Gracious Professionalism 3]])</f>
        <v/>
      </c>
      <c r="R17" s="104">
        <f>SUM(N2:Q2)</f>
        <v/>
      </c>
      <c r="S17" s="77">
        <f>SUM(CoreValuesResults[[#This Row],[Identify - Research (CV-IP)]:[Communicate - Fun (CV-RD)]],CoreValuesResults[[#This Row],[Gracious Professionalism Score]])</f>
        <v/>
      </c>
      <c r="T17" s="70">
        <f>_xlfn.RANK.EQ(CoreValuesResults[[#This Row],[Core Values Score]],CoreValuesResults[Core Values Score],0)</f>
        <v/>
      </c>
    </row>
    <row r="18" ht="21" customHeight="1">
      <c r="A18" s="104" t="n">
        <v>60140</v>
      </c>
      <c r="B18" s="104">
        <f>INDEX(OfficialTeamList[Pod Number],MATCH(CoreValuesResults[[#This Row],[Team Number]], OfficialTeamList[Team '#],0))</f>
        <v/>
      </c>
      <c r="C18" s="106">
        <f>INDEX(OfficialTeamList[Team Name],MATCH(CoreValuesResults[[#This Row],[Team Number]], OfficialTeamList[Team '#],0))</f>
        <v/>
      </c>
      <c r="D18" s="71">
        <f>INDEX(InnovationProjectResults[Identify - Research (CV)],MATCH(CoreValuesResults[[#This Row],[Team Number]],InnovationProjectResults[Team Number],0))</f>
        <v/>
      </c>
      <c r="E18" s="71">
        <f>INDEX(InnovationProjectResults[Design - Teamwork (CV)],MATCH(CoreValuesResults[[#This Row],[Team Number]],InnovationProjectResults[Team Number],0))</f>
        <v/>
      </c>
      <c r="F18" s="71">
        <f>INDEX(InnovationProjectResults[Create - Innovation (CV)],MATCH(CoreValuesResults[[#This Row],[Team Number]],InnovationProjectResults[Team Number],0))</f>
        <v/>
      </c>
      <c r="G18" s="71">
        <f>INDEX(InnovationProjectResults[Communicate - Impact (CV)],MATCH(CoreValuesResults[[#This Row],[Team Number]],InnovationProjectResults[Team Number],0))</f>
        <v/>
      </c>
      <c r="H18" s="71">
        <f>INDEX(InnovationProjectResults[Communicate - Fun (CV)],MATCH(CoreValuesResults[[#This Row],[Team Number]],InnovationProjectResults[Team Number],0))</f>
        <v/>
      </c>
      <c r="I18" s="71">
        <f>INDEX(RobotDesignResults[Identify - Research (CV)],MATCH(CoreValuesResults[[#This Row],[Team Number]],RobotDesignResults[Team Number],0))</f>
        <v/>
      </c>
      <c r="J18" s="71">
        <f>INDEX(RobotDesignResults[Design - Ideas (CV)],MATCH(CoreValuesResults[[#This Row],[Team Number]],RobotDesignResults[Team Number],0))</f>
        <v/>
      </c>
      <c r="K18" s="71">
        <f>INDEX(RobotDesignResults[Iterate - Improvements (CV)],MATCH(CoreValuesResults[[#This Row],[Team Number]],RobotDesignResults[Team Number],0))</f>
        <v/>
      </c>
      <c r="L18" s="71">
        <f>INDEX(RobotDesignResults[Communicate - Impact (CV)],MATCH(CoreValuesResults[[#This Row],[Team Number]],RobotDesignResults[Team Number],0))</f>
        <v/>
      </c>
      <c r="M18" s="71">
        <f>INDEX(RobotDesignResults[Communicate - Fun (CV)],MATCH(CoreValuesResults[[#This Row],[Team Number]],RobotDesignResults[Team Number],0))</f>
        <v/>
      </c>
      <c r="N18" s="78" t="n"/>
      <c r="O18" s="78" t="n"/>
      <c r="P18" s="78" t="n"/>
      <c r="Q18" s="104">
        <f>SUM(CoreValuesResults[[#This Row],[Gracious Professionalism 1]:[Gracious Professionalism 3]])</f>
        <v/>
      </c>
      <c r="R18" s="104">
        <f>SUM(N2:Q2)</f>
        <v/>
      </c>
      <c r="S18" s="77">
        <f>SUM(CoreValuesResults[[#This Row],[Identify - Research (CV-IP)]:[Communicate - Fun (CV-RD)]],CoreValuesResults[[#This Row],[Gracious Professionalism Score]])</f>
        <v/>
      </c>
      <c r="T18" s="70">
        <f>_xlfn.RANK.EQ(CoreValuesResults[[#This Row],[Core Values Score]],CoreValuesResults[Core Values Score],0)</f>
        <v/>
      </c>
    </row>
    <row r="19" ht="21" customHeight="1">
      <c r="A19" s="104" t="n">
        <v>60906</v>
      </c>
      <c r="B19" s="104">
        <f>INDEX(OfficialTeamList[Pod Number],MATCH(CoreValuesResults[[#This Row],[Team Number]], OfficialTeamList[Team '#],0))</f>
        <v/>
      </c>
      <c r="C19" s="106">
        <f>INDEX(OfficialTeamList[Team Name],MATCH(CoreValuesResults[[#This Row],[Team Number]], OfficialTeamList[Team '#],0))</f>
        <v/>
      </c>
      <c r="D19" s="71">
        <f>INDEX(InnovationProjectResults[Identify - Research (CV)],MATCH(CoreValuesResults[[#This Row],[Team Number]],InnovationProjectResults[Team Number],0))</f>
        <v/>
      </c>
      <c r="E19" s="71">
        <f>INDEX(InnovationProjectResults[Design - Teamwork (CV)],MATCH(CoreValuesResults[[#This Row],[Team Number]],InnovationProjectResults[Team Number],0))</f>
        <v/>
      </c>
      <c r="F19" s="71">
        <f>INDEX(InnovationProjectResults[Create - Innovation (CV)],MATCH(CoreValuesResults[[#This Row],[Team Number]],InnovationProjectResults[Team Number],0))</f>
        <v/>
      </c>
      <c r="G19" s="71">
        <f>INDEX(InnovationProjectResults[Communicate - Impact (CV)],MATCH(CoreValuesResults[[#This Row],[Team Number]],InnovationProjectResults[Team Number],0))</f>
        <v/>
      </c>
      <c r="H19" s="71">
        <f>INDEX(InnovationProjectResults[Communicate - Fun (CV)],MATCH(CoreValuesResults[[#This Row],[Team Number]],InnovationProjectResults[Team Number],0))</f>
        <v/>
      </c>
      <c r="I19" s="71">
        <f>INDEX(RobotDesignResults[Identify - Research (CV)],MATCH(CoreValuesResults[[#This Row],[Team Number]],RobotDesignResults[Team Number],0))</f>
        <v/>
      </c>
      <c r="J19" s="71">
        <f>INDEX(RobotDesignResults[Design - Ideas (CV)],MATCH(CoreValuesResults[[#This Row],[Team Number]],RobotDesignResults[Team Number],0))</f>
        <v/>
      </c>
      <c r="K19" s="71">
        <f>INDEX(RobotDesignResults[Iterate - Improvements (CV)],MATCH(CoreValuesResults[[#This Row],[Team Number]],RobotDesignResults[Team Number],0))</f>
        <v/>
      </c>
      <c r="L19" s="71">
        <f>INDEX(RobotDesignResults[Communicate - Impact (CV)],MATCH(CoreValuesResults[[#This Row],[Team Number]],RobotDesignResults[Team Number],0))</f>
        <v/>
      </c>
      <c r="M19" s="71">
        <f>INDEX(RobotDesignResults[Communicate - Fun (CV)],MATCH(CoreValuesResults[[#This Row],[Team Number]],RobotDesignResults[Team Number],0))</f>
        <v/>
      </c>
      <c r="N19" s="78" t="n"/>
      <c r="O19" s="78" t="n"/>
      <c r="P19" s="78" t="n"/>
      <c r="Q19" s="104">
        <f>SUM(CoreValuesResults[[#This Row],[Gracious Professionalism 1]:[Gracious Professionalism 3]])</f>
        <v/>
      </c>
      <c r="R19" s="104">
        <f>SUM(N2:Q2)</f>
        <v/>
      </c>
      <c r="S19" s="77">
        <f>SUM(CoreValuesResults[[#This Row],[Identify - Research (CV-IP)]:[Communicate - Fun (CV-RD)]],CoreValuesResults[[#This Row],[Gracious Professionalism Score]])</f>
        <v/>
      </c>
      <c r="T19" s="70">
        <f>_xlfn.RANK.EQ(CoreValuesResults[[#This Row],[Core Values Score]],CoreValuesResults[Core Values Score],0)</f>
        <v/>
      </c>
    </row>
    <row r="20" ht="21" customHeight="1">
      <c r="A20" s="104" t="n">
        <v>60907</v>
      </c>
      <c r="B20" s="104">
        <f>INDEX(OfficialTeamList[Pod Number],MATCH(CoreValuesResults[[#This Row],[Team Number]], OfficialTeamList[Team '#],0))</f>
        <v/>
      </c>
      <c r="C20" s="106">
        <f>INDEX(OfficialTeamList[Team Name],MATCH(CoreValuesResults[[#This Row],[Team Number]], OfficialTeamList[Team '#],0))</f>
        <v/>
      </c>
      <c r="D20" s="71">
        <f>INDEX(InnovationProjectResults[Identify - Research (CV)],MATCH(CoreValuesResults[[#This Row],[Team Number]],InnovationProjectResults[Team Number],0))</f>
        <v/>
      </c>
      <c r="E20" s="71">
        <f>INDEX(InnovationProjectResults[Design - Teamwork (CV)],MATCH(CoreValuesResults[[#This Row],[Team Number]],InnovationProjectResults[Team Number],0))</f>
        <v/>
      </c>
      <c r="F20" s="71">
        <f>INDEX(InnovationProjectResults[Create - Innovation (CV)],MATCH(CoreValuesResults[[#This Row],[Team Number]],InnovationProjectResults[Team Number],0))</f>
        <v/>
      </c>
      <c r="G20" s="71">
        <f>INDEX(InnovationProjectResults[Communicate - Impact (CV)],MATCH(CoreValuesResults[[#This Row],[Team Number]],InnovationProjectResults[Team Number],0))</f>
        <v/>
      </c>
      <c r="H20" s="71">
        <f>INDEX(InnovationProjectResults[Communicate - Fun (CV)],MATCH(CoreValuesResults[[#This Row],[Team Number]],InnovationProjectResults[Team Number],0))</f>
        <v/>
      </c>
      <c r="I20" s="71">
        <f>INDEX(RobotDesignResults[Identify - Research (CV)],MATCH(CoreValuesResults[[#This Row],[Team Number]],RobotDesignResults[Team Number],0))</f>
        <v/>
      </c>
      <c r="J20" s="71">
        <f>INDEX(RobotDesignResults[Design - Ideas (CV)],MATCH(CoreValuesResults[[#This Row],[Team Number]],RobotDesignResults[Team Number],0))</f>
        <v/>
      </c>
      <c r="K20" s="71">
        <f>INDEX(RobotDesignResults[Iterate - Improvements (CV)],MATCH(CoreValuesResults[[#This Row],[Team Number]],RobotDesignResults[Team Number],0))</f>
        <v/>
      </c>
      <c r="L20" s="71">
        <f>INDEX(RobotDesignResults[Communicate - Impact (CV)],MATCH(CoreValuesResults[[#This Row],[Team Number]],RobotDesignResults[Team Number],0))</f>
        <v/>
      </c>
      <c r="M20" s="71">
        <f>INDEX(RobotDesignResults[Communicate - Fun (CV)],MATCH(CoreValuesResults[[#This Row],[Team Number]],RobotDesignResults[Team Number],0))</f>
        <v/>
      </c>
      <c r="N20" s="78" t="n"/>
      <c r="O20" s="78" t="n"/>
      <c r="P20" s="78" t="n"/>
      <c r="Q20" s="104">
        <f>SUM(CoreValuesResults[[#This Row],[Gracious Professionalism 1]:[Gracious Professionalism 3]])</f>
        <v/>
      </c>
      <c r="R20" s="104">
        <f>SUM(N2:Q2)</f>
        <v/>
      </c>
      <c r="S20" s="77">
        <f>SUM(CoreValuesResults[[#This Row],[Identify - Research (CV-IP)]:[Communicate - Fun (CV-RD)]],CoreValuesResults[[#This Row],[Gracious Professionalism Score]])</f>
        <v/>
      </c>
      <c r="T20" s="70">
        <f>_xlfn.RANK.EQ(CoreValuesResults[[#This Row],[Core Values Score]],CoreValuesResults[Core Values Score],0)</f>
        <v/>
      </c>
    </row>
    <row r="21" ht="21" customHeight="1">
      <c r="A21" s="104" t="n">
        <v>61461</v>
      </c>
      <c r="B21" s="104">
        <f>INDEX(OfficialTeamList[Pod Number],MATCH(CoreValuesResults[[#This Row],[Team Number]], OfficialTeamList[Team '#],0))</f>
        <v/>
      </c>
      <c r="C21" s="106">
        <f>INDEX(OfficialTeamList[Team Name],MATCH(CoreValuesResults[[#This Row],[Team Number]], OfficialTeamList[Team '#],0))</f>
        <v/>
      </c>
      <c r="D21" s="71">
        <f>INDEX(InnovationProjectResults[Identify - Research (CV)],MATCH(CoreValuesResults[[#This Row],[Team Number]],InnovationProjectResults[Team Number],0))</f>
        <v/>
      </c>
      <c r="E21" s="71">
        <f>INDEX(InnovationProjectResults[Design - Teamwork (CV)],MATCH(CoreValuesResults[[#This Row],[Team Number]],InnovationProjectResults[Team Number],0))</f>
        <v/>
      </c>
      <c r="F21" s="71">
        <f>INDEX(InnovationProjectResults[Create - Innovation (CV)],MATCH(CoreValuesResults[[#This Row],[Team Number]],InnovationProjectResults[Team Number],0))</f>
        <v/>
      </c>
      <c r="G21" s="71">
        <f>INDEX(InnovationProjectResults[Communicate - Impact (CV)],MATCH(CoreValuesResults[[#This Row],[Team Number]],InnovationProjectResults[Team Number],0))</f>
        <v/>
      </c>
      <c r="H21" s="71">
        <f>INDEX(InnovationProjectResults[Communicate - Fun (CV)],MATCH(CoreValuesResults[[#This Row],[Team Number]],InnovationProjectResults[Team Number],0))</f>
        <v/>
      </c>
      <c r="I21" s="71">
        <f>INDEX(RobotDesignResults[Identify - Research (CV)],MATCH(CoreValuesResults[[#This Row],[Team Number]],RobotDesignResults[Team Number],0))</f>
        <v/>
      </c>
      <c r="J21" s="71">
        <f>INDEX(RobotDesignResults[Design - Ideas (CV)],MATCH(CoreValuesResults[[#This Row],[Team Number]],RobotDesignResults[Team Number],0))</f>
        <v/>
      </c>
      <c r="K21" s="71">
        <f>INDEX(RobotDesignResults[Iterate - Improvements (CV)],MATCH(CoreValuesResults[[#This Row],[Team Number]],RobotDesignResults[Team Number],0))</f>
        <v/>
      </c>
      <c r="L21" s="71">
        <f>INDEX(RobotDesignResults[Communicate - Impact (CV)],MATCH(CoreValuesResults[[#This Row],[Team Number]],RobotDesignResults[Team Number],0))</f>
        <v/>
      </c>
      <c r="M21" s="71">
        <f>INDEX(RobotDesignResults[Communicate - Fun (CV)],MATCH(CoreValuesResults[[#This Row],[Team Number]],RobotDesignResults[Team Number],0))</f>
        <v/>
      </c>
      <c r="N21" s="78" t="n"/>
      <c r="O21" s="78" t="n"/>
      <c r="P21" s="78" t="n"/>
      <c r="Q21" s="104">
        <f>SUM(CoreValuesResults[[#This Row],[Gracious Professionalism 1]:[Gracious Professionalism 3]])</f>
        <v/>
      </c>
      <c r="R21" s="104">
        <f>SUM(N2:Q2)</f>
        <v/>
      </c>
      <c r="S21" s="77">
        <f>SUM(CoreValuesResults[[#This Row],[Identify - Research (CV-IP)]:[Communicate - Fun (CV-RD)]],CoreValuesResults[[#This Row],[Gracious Professionalism Score]])</f>
        <v/>
      </c>
      <c r="T21" s="70">
        <f>_xlfn.RANK.EQ(CoreValuesResults[[#This Row],[Core Values Score]],CoreValuesResults[Core Values Score],0)</f>
        <v/>
      </c>
    </row>
    <row r="22" ht="21" customHeight="1">
      <c r="A22" s="104" t="n">
        <v>67022</v>
      </c>
      <c r="B22" s="104">
        <f>INDEX(OfficialTeamList[Pod Number],MATCH(CoreValuesResults[[#This Row],[Team Number]], OfficialTeamList[Team '#],0))</f>
        <v/>
      </c>
      <c r="C22" s="106">
        <f>INDEX(OfficialTeamList[Team Name],MATCH(CoreValuesResults[[#This Row],[Team Number]], OfficialTeamList[Team '#],0))</f>
        <v/>
      </c>
      <c r="D22" s="71">
        <f>INDEX(InnovationProjectResults[Identify - Research (CV)],MATCH(CoreValuesResults[[#This Row],[Team Number]],InnovationProjectResults[Team Number],0))</f>
        <v/>
      </c>
      <c r="E22" s="71">
        <f>INDEX(InnovationProjectResults[Design - Teamwork (CV)],MATCH(CoreValuesResults[[#This Row],[Team Number]],InnovationProjectResults[Team Number],0))</f>
        <v/>
      </c>
      <c r="F22" s="71">
        <f>INDEX(InnovationProjectResults[Create - Innovation (CV)],MATCH(CoreValuesResults[[#This Row],[Team Number]],InnovationProjectResults[Team Number],0))</f>
        <v/>
      </c>
      <c r="G22" s="71">
        <f>INDEX(InnovationProjectResults[Communicate - Impact (CV)],MATCH(CoreValuesResults[[#This Row],[Team Number]],InnovationProjectResults[Team Number],0))</f>
        <v/>
      </c>
      <c r="H22" s="71">
        <f>INDEX(InnovationProjectResults[Communicate - Fun (CV)],MATCH(CoreValuesResults[[#This Row],[Team Number]],InnovationProjectResults[Team Number],0))</f>
        <v/>
      </c>
      <c r="I22" s="71">
        <f>INDEX(RobotDesignResults[Identify - Research (CV)],MATCH(CoreValuesResults[[#This Row],[Team Number]],RobotDesignResults[Team Number],0))</f>
        <v/>
      </c>
      <c r="J22" s="71">
        <f>INDEX(RobotDesignResults[Design - Ideas (CV)],MATCH(CoreValuesResults[[#This Row],[Team Number]],RobotDesignResults[Team Number],0))</f>
        <v/>
      </c>
      <c r="K22" s="71">
        <f>INDEX(RobotDesignResults[Iterate - Improvements (CV)],MATCH(CoreValuesResults[[#This Row],[Team Number]],RobotDesignResults[Team Number],0))</f>
        <v/>
      </c>
      <c r="L22" s="71">
        <f>INDEX(RobotDesignResults[Communicate - Impact (CV)],MATCH(CoreValuesResults[[#This Row],[Team Number]],RobotDesignResults[Team Number],0))</f>
        <v/>
      </c>
      <c r="M22" s="71">
        <f>INDEX(RobotDesignResults[Communicate - Fun (CV)],MATCH(CoreValuesResults[[#This Row],[Team Number]],RobotDesignResults[Team Number],0))</f>
        <v/>
      </c>
      <c r="N22" s="78" t="n"/>
      <c r="O22" s="78" t="n"/>
      <c r="P22" s="78" t="n"/>
      <c r="Q22" s="104">
        <f>SUM(CoreValuesResults[[#This Row],[Gracious Professionalism 1]:[Gracious Professionalism 3]])</f>
        <v/>
      </c>
      <c r="R22" s="104">
        <f>SUM(N2:Q2)</f>
        <v/>
      </c>
      <c r="S22" s="77">
        <f>SUM(CoreValuesResults[[#This Row],[Identify - Research (CV-IP)]:[Communicate - Fun (CV-RD)]],CoreValuesResults[[#This Row],[Gracious Professionalism Score]])</f>
        <v/>
      </c>
      <c r="T22" s="70">
        <f>_xlfn.RANK.EQ(CoreValuesResults[[#This Row],[Core Values Score]],CoreValuesResults[Core Values Score],0)</f>
        <v/>
      </c>
    </row>
    <row r="23" ht="21" customHeight="1">
      <c r="A23" s="104" t="n">
        <v>69306</v>
      </c>
      <c r="B23" s="104">
        <f>INDEX(OfficialTeamList[Pod Number],MATCH(CoreValuesResults[[#This Row],[Team Number]], OfficialTeamList[Team '#],0))</f>
        <v/>
      </c>
      <c r="C23" s="106">
        <f>INDEX(OfficialTeamList[Team Name],MATCH(CoreValuesResults[[#This Row],[Team Number]], OfficialTeamList[Team '#],0))</f>
        <v/>
      </c>
      <c r="D23" s="71">
        <f>INDEX(InnovationProjectResults[Identify - Research (CV)],MATCH(CoreValuesResults[[#This Row],[Team Number]],InnovationProjectResults[Team Number],0))</f>
        <v/>
      </c>
      <c r="E23" s="71">
        <f>INDEX(InnovationProjectResults[Design - Teamwork (CV)],MATCH(CoreValuesResults[[#This Row],[Team Number]],InnovationProjectResults[Team Number],0))</f>
        <v/>
      </c>
      <c r="F23" s="71">
        <f>INDEX(InnovationProjectResults[Create - Innovation (CV)],MATCH(CoreValuesResults[[#This Row],[Team Number]],InnovationProjectResults[Team Number],0))</f>
        <v/>
      </c>
      <c r="G23" s="71">
        <f>INDEX(InnovationProjectResults[Communicate - Impact (CV)],MATCH(CoreValuesResults[[#This Row],[Team Number]],InnovationProjectResults[Team Number],0))</f>
        <v/>
      </c>
      <c r="H23" s="71">
        <f>INDEX(InnovationProjectResults[Communicate - Fun (CV)],MATCH(CoreValuesResults[[#This Row],[Team Number]],InnovationProjectResults[Team Number],0))</f>
        <v/>
      </c>
      <c r="I23" s="71">
        <f>INDEX(RobotDesignResults[Identify - Research (CV)],MATCH(CoreValuesResults[[#This Row],[Team Number]],RobotDesignResults[Team Number],0))</f>
        <v/>
      </c>
      <c r="J23" s="71">
        <f>INDEX(RobotDesignResults[Design - Ideas (CV)],MATCH(CoreValuesResults[[#This Row],[Team Number]],RobotDesignResults[Team Number],0))</f>
        <v/>
      </c>
      <c r="K23" s="71">
        <f>INDEX(RobotDesignResults[Iterate - Improvements (CV)],MATCH(CoreValuesResults[[#This Row],[Team Number]],RobotDesignResults[Team Number],0))</f>
        <v/>
      </c>
      <c r="L23" s="71">
        <f>INDEX(RobotDesignResults[Communicate - Impact (CV)],MATCH(CoreValuesResults[[#This Row],[Team Number]],RobotDesignResults[Team Number],0))</f>
        <v/>
      </c>
      <c r="M23" s="71">
        <f>INDEX(RobotDesignResults[Communicate - Fun (CV)],MATCH(CoreValuesResults[[#This Row],[Team Number]],RobotDesignResults[Team Number],0))</f>
        <v/>
      </c>
      <c r="N23" s="78" t="n"/>
      <c r="O23" s="78" t="n"/>
      <c r="P23" s="78" t="n"/>
      <c r="Q23" s="104">
        <f>SUM(CoreValuesResults[[#This Row],[Gracious Professionalism 1]:[Gracious Professionalism 3]])</f>
        <v/>
      </c>
      <c r="R23" s="104">
        <f>SUM(N2:Q2)</f>
        <v/>
      </c>
      <c r="S23" s="77">
        <f>SUM(CoreValuesResults[[#This Row],[Identify - Research (CV-IP)]:[Communicate - Fun (CV-RD)]],CoreValuesResults[[#This Row],[Gracious Professionalism Score]])</f>
        <v/>
      </c>
      <c r="T23" s="70">
        <f>_xlfn.RANK.EQ(CoreValuesResults[[#This Row],[Core Values Score]],CoreValuesResults[Core Values Score],0)</f>
        <v/>
      </c>
    </row>
    <row r="24" ht="21" customHeight="1">
      <c r="A24" s="104" t="n">
        <v>72747</v>
      </c>
      <c r="B24" s="104">
        <f>INDEX(OfficialTeamList[Pod Number],MATCH(CoreValuesResults[[#This Row],[Team Number]], OfficialTeamList[Team '#],0))</f>
        <v/>
      </c>
      <c r="C24" s="106">
        <f>INDEX(OfficialTeamList[Team Name],MATCH(CoreValuesResults[[#This Row],[Team Number]], OfficialTeamList[Team '#],0))</f>
        <v/>
      </c>
      <c r="D24" s="71">
        <f>INDEX(InnovationProjectResults[Identify - Research (CV)],MATCH(CoreValuesResults[[#This Row],[Team Number]],InnovationProjectResults[Team Number],0))</f>
        <v/>
      </c>
      <c r="E24" s="71">
        <f>INDEX(InnovationProjectResults[Design - Teamwork (CV)],MATCH(CoreValuesResults[[#This Row],[Team Number]],InnovationProjectResults[Team Number],0))</f>
        <v/>
      </c>
      <c r="F24" s="71">
        <f>INDEX(InnovationProjectResults[Create - Innovation (CV)],MATCH(CoreValuesResults[[#This Row],[Team Number]],InnovationProjectResults[Team Number],0))</f>
        <v/>
      </c>
      <c r="G24" s="71">
        <f>INDEX(InnovationProjectResults[Communicate - Impact (CV)],MATCH(CoreValuesResults[[#This Row],[Team Number]],InnovationProjectResults[Team Number],0))</f>
        <v/>
      </c>
      <c r="H24" s="71">
        <f>INDEX(InnovationProjectResults[Communicate - Fun (CV)],MATCH(CoreValuesResults[[#This Row],[Team Number]],InnovationProjectResults[Team Number],0))</f>
        <v/>
      </c>
      <c r="I24" s="71">
        <f>INDEX(RobotDesignResults[Identify - Research (CV)],MATCH(CoreValuesResults[[#This Row],[Team Number]],RobotDesignResults[Team Number],0))</f>
        <v/>
      </c>
      <c r="J24" s="71">
        <f>INDEX(RobotDesignResults[Design - Ideas (CV)],MATCH(CoreValuesResults[[#This Row],[Team Number]],RobotDesignResults[Team Number],0))</f>
        <v/>
      </c>
      <c r="K24" s="71">
        <f>INDEX(RobotDesignResults[Iterate - Improvements (CV)],MATCH(CoreValuesResults[[#This Row],[Team Number]],RobotDesignResults[Team Number],0))</f>
        <v/>
      </c>
      <c r="L24" s="71">
        <f>INDEX(RobotDesignResults[Communicate - Impact (CV)],MATCH(CoreValuesResults[[#This Row],[Team Number]],RobotDesignResults[Team Number],0))</f>
        <v/>
      </c>
      <c r="M24" s="71">
        <f>INDEX(RobotDesignResults[Communicate - Fun (CV)],MATCH(CoreValuesResults[[#This Row],[Team Number]],RobotDesignResults[Team Number],0))</f>
        <v/>
      </c>
      <c r="N24" s="78" t="n"/>
      <c r="O24" s="78" t="n"/>
      <c r="P24" s="78" t="n"/>
      <c r="Q24" s="104">
        <f>SUM(CoreValuesResults[[#This Row],[Gracious Professionalism 1]:[Gracious Professionalism 3]])</f>
        <v/>
      </c>
      <c r="R24" s="104">
        <f>SUM(N2:Q2)</f>
        <v/>
      </c>
      <c r="S24" s="77">
        <f>SUM(CoreValuesResults[[#This Row],[Identify - Research (CV-IP)]:[Communicate - Fun (CV-RD)]],CoreValuesResults[[#This Row],[Gracious Professionalism Score]])</f>
        <v/>
      </c>
      <c r="T24" s="70">
        <f>_xlfn.RANK.EQ(CoreValuesResults[[#This Row],[Core Values Score]],CoreValuesResults[Core Values Score],0)</f>
        <v/>
      </c>
    </row>
    <row r="25" ht="21" customHeight="1">
      <c r="A25" s="104" t="n">
        <v>74225</v>
      </c>
      <c r="B25" s="104">
        <f>INDEX(OfficialTeamList[Pod Number],MATCH(CoreValuesResults[[#This Row],[Team Number]], OfficialTeamList[Team '#],0))</f>
        <v/>
      </c>
      <c r="C25" s="106">
        <f>INDEX(OfficialTeamList[Team Name],MATCH(CoreValuesResults[[#This Row],[Team Number]], OfficialTeamList[Team '#],0))</f>
        <v/>
      </c>
      <c r="D25" s="71">
        <f>INDEX(InnovationProjectResults[Identify - Research (CV)],MATCH(CoreValuesResults[[#This Row],[Team Number]],InnovationProjectResults[Team Number],0))</f>
        <v/>
      </c>
      <c r="E25" s="71">
        <f>INDEX(InnovationProjectResults[Design - Teamwork (CV)],MATCH(CoreValuesResults[[#This Row],[Team Number]],InnovationProjectResults[Team Number],0))</f>
        <v/>
      </c>
      <c r="F25" s="71">
        <f>INDEX(InnovationProjectResults[Create - Innovation (CV)],MATCH(CoreValuesResults[[#This Row],[Team Number]],InnovationProjectResults[Team Number],0))</f>
        <v/>
      </c>
      <c r="G25" s="71">
        <f>INDEX(InnovationProjectResults[Communicate - Impact (CV)],MATCH(CoreValuesResults[[#This Row],[Team Number]],InnovationProjectResults[Team Number],0))</f>
        <v/>
      </c>
      <c r="H25" s="71">
        <f>INDEX(InnovationProjectResults[Communicate - Fun (CV)],MATCH(CoreValuesResults[[#This Row],[Team Number]],InnovationProjectResults[Team Number],0))</f>
        <v/>
      </c>
      <c r="I25" s="71">
        <f>INDEX(RobotDesignResults[Identify - Research (CV)],MATCH(CoreValuesResults[[#This Row],[Team Number]],RobotDesignResults[Team Number],0))</f>
        <v/>
      </c>
      <c r="J25" s="71">
        <f>INDEX(RobotDesignResults[Design - Ideas (CV)],MATCH(CoreValuesResults[[#This Row],[Team Number]],RobotDesignResults[Team Number],0))</f>
        <v/>
      </c>
      <c r="K25" s="71">
        <f>INDEX(RobotDesignResults[Iterate - Improvements (CV)],MATCH(CoreValuesResults[[#This Row],[Team Number]],RobotDesignResults[Team Number],0))</f>
        <v/>
      </c>
      <c r="L25" s="71">
        <f>INDEX(RobotDesignResults[Communicate - Impact (CV)],MATCH(CoreValuesResults[[#This Row],[Team Number]],RobotDesignResults[Team Number],0))</f>
        <v/>
      </c>
      <c r="M25" s="71">
        <f>INDEX(RobotDesignResults[Communicate - Fun (CV)],MATCH(CoreValuesResults[[#This Row],[Team Number]],RobotDesignResults[Team Number],0))</f>
        <v/>
      </c>
      <c r="N25" s="78" t="n"/>
      <c r="O25" s="78" t="n"/>
      <c r="P25" s="78" t="n"/>
      <c r="Q25" s="104">
        <f>SUM(CoreValuesResults[[#This Row],[Gracious Professionalism 1]:[Gracious Professionalism 3]])</f>
        <v/>
      </c>
      <c r="R25" s="104">
        <f>SUM(N2:Q2)</f>
        <v/>
      </c>
      <c r="S25" s="77">
        <f>SUM(CoreValuesResults[[#This Row],[Identify - Research (CV-IP)]:[Communicate - Fun (CV-RD)]],CoreValuesResults[[#This Row],[Gracious Professionalism Score]])</f>
        <v/>
      </c>
      <c r="T25"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2025-12-20T04:37:25Z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