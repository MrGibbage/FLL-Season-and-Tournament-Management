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BF1328B2-061C-4521-B8CF-7207D63ECEEB}" xr6:coauthVersionLast="47" xr6:coauthVersionMax="47" xr10:uidLastSave="{00000000-0000-0000-0000-000000000000}"/>
  <bookViews>
    <workbookView xWindow="-120" yWindow="-120" windowWidth="38640" windowHeight="21120" tabRatio="879"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Instructions!$B$1:$D$20</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<sst xmlns="http://schemas.openxmlformats.org/spreadsheetml/2006/main" count="183" uniqueCount="130">
  <si>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</si>
  <si>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</si>
  <si>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</si>
  <si>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</si>
  <si>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</si>
  <si>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</si>
  <si>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</si>
  <si>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</si>
  <si>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</si>
  <si>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</si>
  <si>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</si>
  <si>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</si>
  <si>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</si>
  <si>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</si>
  <si>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</si>
  <si>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</si>
  <si>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</si>
  <si>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</si>
  <si>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</si>
  <si>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</si>
  <si>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</si>
  <si>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</si>
  <si>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</si>
  <si>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</si>
  <si>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</si>
  <si>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</si>
  <si>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</si>
  <si>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</si>
  <si>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</si>
  <si>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</si>
  <si>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</si>
  <si>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</si>
  <si>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</si>
  <si>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</si>
  <si>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</si>
  <si>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</si>
  <si>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</si>
  <si>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</si>
  <si>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</si>
  <si>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</si>
  <si>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</si>
  <si>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</si>
  <si>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</si>
  <si>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</si>
  <si>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</si>
  <si>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</si>
  <si>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</si>
  <si>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</si>
  <si>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</si>
  <si>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</si>
  <si>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</si>
  <si>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</si>
  <si>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</si>
  <si>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</si>
  <si>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</si>
  <si>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</si>
  <si>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</si>
  <si>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</si>
  <si>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</si>
  <si>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</si>
  <si>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</si>
  <si>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</si>
  <si>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</si>
  <si>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</si>
  <si>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</si>
  <si>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</si>
  <si>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</si>
  <si>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</si>
  <si>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</si>
  <si>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</si>
  <si>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</si>
  <si>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</si>
  <si>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</si>
  <si>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</si>
  <si>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</si>
  <si>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</si>
  <si>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</si>
  <si>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</si>
  <si>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</si>
  <si>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</si>
  <si>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</si>
  <si>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</si>
  <si>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</si>
  <si>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</si>
  <si>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</si>
  <si>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</si>
  <si>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</si>
  <si>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</si>
  <si>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</si>
  <si>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</si>
  <si>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</si>
  <si>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</si>
  <si>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</si>
  <si>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</si>
  <si>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</si>
  <si>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</si>
  <si>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</si>
  <si>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</si>
  <si>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</si>
  <si>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</si>
  <si>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</si>
  <si>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</si>
  <si>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</si>
  <si>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</si>
  <si>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</si>
  <si>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</si>
  <si>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</si>
  <si>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</si>
  <si>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</si>
  <si>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</si>
  <si>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</si>
  <si>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</si>
  <si>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</si>
  <si>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</si>
  <si>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</si>
  <si>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</si>
  <si>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</si>
  <si>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</si>
  <si>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</si>
  <si>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</si>
  <si>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</si>
  <si>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</si>
  <si>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</si>
  <si>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</si>
  <si>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</si>
  <si>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</si>
  <si>
    <t>Enable macros. Technically you do not have to enable macros to use the OJS, but there are some options that you may want to use that require macros enabled.</t>
  </si>
  <si>
    <t>If you have enabled macros, there are actions in the FLL OJS menu button that you can use. Note that some of the actions are password protected, but those actions would rarely, if ever, be needed by a judge advisor</t>
  </si>
  <si>
    <r>
      <rPr>
        <b/>
        <sz val="18"/>
        <color theme="1"/>
        <rFont val="Calibri"/>
        <family val="2"/>
        <scheme val="minor"/>
      </rPr>
      <t>Danger Zone &gt; 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Danger Zone &gt; Clear all scores</t>
    </r>
    <r>
      <rPr>
        <sz val="18"/>
        <color theme="1"/>
        <rFont val="Calibri"/>
        <family val="2"/>
        <scheme val="minor"/>
      </rPr>
      <t xml:space="preserve">: Does exactly what it says. Clears all scores (even the random ones if you used that.
Obviously both of these would be dangerous to use if you accidentally overwrote any REAL scores that you may have already entered.
</t>
    </r>
    <r>
      <rPr>
        <b/>
        <sz val="18"/>
        <color theme="1"/>
        <rFont val="Calibri"/>
        <family val="2"/>
        <scheme val="minor"/>
      </rPr>
      <t xml:space="preserve">Admin &gt; Change Team Name: </t>
    </r>
    <r>
      <rPr>
        <sz val="18"/>
        <color theme="1"/>
        <rFont val="Calibri"/>
        <family val="2"/>
        <scheme val="minor"/>
      </rPr>
      <t xml:space="preserve">Renames a team in the OJS. You do not have to contact state leadership to change a team name. You cannot change a team number, or add or delete teams. Those all require state leadership approval.
</t>
    </r>
    <r>
      <rPr>
        <b/>
        <sz val="18"/>
        <color theme="1"/>
        <rFont val="Calibri"/>
        <family val="2"/>
        <scheme val="minor"/>
      </rPr>
      <t xml:space="preserve">Sorting: </t>
    </r>
    <r>
      <rPr>
        <sz val="18"/>
        <color theme="1"/>
        <rFont val="Calibri"/>
        <family val="2"/>
        <scheme val="minor"/>
      </rPr>
      <t>There is a menu for sorting the Results and Rankings worksheet as needed.</t>
    </r>
  </si>
  <si>
    <t>When you have entered all scores and selected the awards and advancing teams, you can run the script generator program to generate a closing script. Be sure to use the right program for your operating system. While this program works pretty good for most tournaments, it is always a good idea to have a backup with paper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</si>
</sst>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49" dataDxfId="148">
  <autoFilter ref="A2:D3" xr:uid="{00000000-0009-0000-0100-000001000000}"/>
  <sortState xmlns:xlrd2="http://schemas.microsoft.com/office/spreadsheetml/2017/richdata2" ref="A3:D3">
    <sortCondition ref="A3"/>
  </sortState>
  <tableColumns count="4">
    <tableColumn id="1" xr3:uid="{00000000-0010-0000-0000-000001000000}" name="Team #" dataDxfId="147"/>
    <tableColumn id="2" xr3:uid="{00000000-0010-0000-0000-000002000000}" name="Team Name" dataDxfId="146"/>
    <tableColumn id="3" xr3:uid="{00000000-0010-0000-0000-000003000000}" name="Coach Name" dataDxfId="145"/>
    <tableColumn id="4" xr3:uid="{00000000-0010-0000-0000-000004000000}" name="Pod Number" dataDxfId="1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43" dataDxfId="142">
  <autoFilter ref="A1:B2" xr:uid="{00000000-0009-0000-0100-000002000000}"/>
  <tableColumns count="2">
    <tableColumn id="1" xr3:uid="{00000000-0010-0000-0100-000001000000}" name="Key" dataDxfId="141"/>
    <tableColumn id="2" xr3:uid="{00000000-0010-0000-0100-000002000000}" name="Value" dataDxfId="14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38" dataDxfId="136" headerRowBorderDxfId="137">
  <autoFilter ref="A2:W3" xr:uid="{00000000-0009-0000-0100-000003000000}"/>
  <sortState xmlns:xlrd2="http://schemas.microsoft.com/office/spreadsheetml/2017/richdata2" ref="A3:W3">
    <sortCondition ref="A3"/>
  </sortState>
  <tableColumns count="23">
    <tableColumn id="1" xr3:uid="{00000000-0010-0000-0200-000001000000}" name="Team #" dataDxfId="135"/>
    <tableColumn id="13" xr3:uid="{B6F7889F-87AA-4A84-B629-ACB1A9C3B938}" name="POD" dataDxfId="134">
      <calculatedColumnFormula>INDEX(OfficialTeamList[Pod Number],MATCH(TournamentData[[#This Row],[Team '#]], OfficialTeamList[Team '#],0))</calculatedColumnFormula>
    </tableColumn>
    <tableColumn id="2" xr3:uid="{00000000-0010-0000-0200-000002000000}" name="Team Name" dataDxfId="133">
      <calculatedColumnFormula>INDEX(OfficialTeamList[Team Name],MATCH(TournamentData[[#This Row],[Team '#]], OfficialTeamList[Team '#],0))</calculatedColumnFormula>
    </tableColumn>
    <tableColumn id="6" xr3:uid="{00000000-0010-0000-02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'#]],CoreValuesResults[Team '#],0))</calculatedColumnFormula>
    </tableColumn>
    <tableColumn id="4" xr3:uid="{00000000-0010-0000-0200-000004000000}" name="Innovation Project Rank" dataDxfId="124">
      <calculatedColumnFormula>INDEX(InnovationProjectResults[Innovation Project Rank],MATCH(TournamentData[[#This Row],[Team '#]],InnovationProjectResults[Team '#],0))</calculatedColumnFormula>
    </tableColumn>
    <tableColumn id="5" xr3:uid="{00000000-0010-0000-0200-000005000000}" name="Robot Design Rank" dataDxfId="123">
      <calculatedColumnFormula>INDEX(RobotDesignResults[Robot Design Rank],MATCH(TournamentData[[#This Row],[Team '#]],RobotDesignResults[Team '#],0))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IF(U3,_xlfn.RANK.EQ(U3,U$3:U$3,0),NumberOfTeams)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19"/>
  <sheetViews>
    <sheetView tabSelected="1" topLeftCell="A2" zoomScale="70" zoomScaleNormal="70" workbookViewId="0">
      <selection activeCell="C14" sqref="C14"/>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2" t="s">
        <v>102</v>
      </c>
    </row>
    <row r="2" spans="2:3" ht="102.75" customHeight="1" x14ac:dyDescent="0.25">
      <c r="C2" s="81" t="s">
        <v>0</v>
      </c>
    </row>
    <row r="3" spans="2:3" ht="39.75" customHeight="1" x14ac:dyDescent="0.25">
      <c r="C3" s="91" t="s">
        <v>109</v>
      </c>
    </row>
    <row r="4" spans="2:3" ht="110.25" customHeight="1" x14ac:dyDescent="0.25">
      <c r="B4" s="89" t="s">
        <v>1</v>
      </c>
      <c r="C4" s="83" t="s">
        <v>126</v>
      </c>
    </row>
    <row r="5" spans="2:3" ht="121.5" customHeight="1" x14ac:dyDescent="0.25">
      <c r="B5" s="89" t="s">
        <v>2</v>
      </c>
      <c r="C5" s="83" t="s">
        <v>127</v>
      </c>
    </row>
    <row r="6" spans="2:3" ht="185.25" customHeight="1" x14ac:dyDescent="0.25">
      <c r="B6" s="90"/>
      <c r="C6" s="84" t="s">
        <v>128</v>
      </c>
    </row>
    <row r="7" spans="2:3" ht="117" customHeight="1" x14ac:dyDescent="0.25">
      <c r="B7" s="89" t="s">
        <v>3</v>
      </c>
      <c r="C7" s="83" t="s">
        <v>103</v>
      </c>
    </row>
    <row r="8" spans="2:3" ht="52.9" customHeight="1" x14ac:dyDescent="0.25">
      <c r="B8" s="90"/>
      <c r="C8" s="84" t="s">
        <v>104</v>
      </c>
    </row>
    <row r="9" spans="2:3" ht="1.9" customHeight="1" x14ac:dyDescent="0.25">
      <c r="B9" s="90"/>
    </row>
    <row r="10" spans="2:3" ht="20.45" customHeight="1" x14ac:dyDescent="0.25">
      <c r="B10" s="90"/>
    </row>
    <row r="11" spans="2:3" ht="73.5" customHeight="1" x14ac:dyDescent="0.25">
      <c r="B11" s="89" t="s">
        <v>4</v>
      </c>
      <c r="C11" s="83" t="s">
        <v>105</v>
      </c>
    </row>
    <row r="12" spans="2:3" ht="95.25" customHeight="1" x14ac:dyDescent="0.25">
      <c r="B12" s="89" t="s">
        <v>5</v>
      </c>
      <c r="C12" s="88" t="s">
        <v>6</v>
      </c>
    </row>
    <row r="13" spans="2:3" ht="154.5" customHeight="1" x14ac:dyDescent="0.25">
      <c r="B13" s="89" t="s">
        <v>108</v>
      </c>
      <c r="C13" s="88" t="s">
        <v>129</v>
      </c>
    </row>
    <row r="14" spans="2:3" ht="30" customHeight="1" x14ac:dyDescent="0.25">
      <c r="B14" s="36"/>
      <c r="C14" s="34"/>
    </row>
    <row r="15" spans="2:3" ht="39.950000000000003" customHeight="1" thickBot="1" x14ac:dyDescent="0.3">
      <c r="C15" s="35" t="s">
        <v>7</v>
      </c>
    </row>
    <row r="16" spans="2:3" ht="63.75" customHeight="1" thickBot="1" x14ac:dyDescent="0.3">
      <c r="B16" s="34"/>
      <c r="C16" s="85" t="s">
        <v>106</v>
      </c>
    </row>
    <row r="17" spans="3:3" ht="39.950000000000003" customHeight="1" thickBot="1" x14ac:dyDescent="0.3">
      <c r="C17" s="87" t="s">
        <v>8</v>
      </c>
    </row>
    <row r="18" spans="3:3" ht="60" customHeight="1" thickBot="1" x14ac:dyDescent="0.3">
      <c r="C18" s="86" t="s">
        <v>9</v>
      </c>
    </row>
    <row r="19" spans="3:3" ht="39.950000000000003" customHeight="1" thickBot="1" x14ac:dyDescent="0.3">
      <c r="C19" s="87" t="s">
        <v>107</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0" t="s">
        <v>10</v>
      </c>
      <c r="B1" s="100"/>
      <c r="C1" s="100"/>
      <c r="D1" s="100"/>
      <c r="E1" s="7" t="s">
        <v>100</v>
      </c>
      <c r="F1" s="79">
        <f>COUNT(OfficialTeamList[Team '#])</f>
        <v>0</v>
      </c>
      <c r="G1" s="79" t="s">
        <v>101</v>
      </c>
      <c r="H1" s="80">
        <f>MAX(OfficialTeamList[Pod Number])</f>
        <v>0</v>
      </c>
      <c r="I1" s="78"/>
    </row>
    <row r="2" spans="1:9" s="2" customFormat="1" ht="21" customHeight="1" thickBot="1" x14ac:dyDescent="0.3">
      <c r="A2" s="7" t="s">
        <v>119</v>
      </c>
      <c r="B2" s="7" t="s">
        <v>12</v>
      </c>
      <c r="C2" s="6" t="s">
        <v>120</v>
      </c>
      <c r="D2" s="6" t="s">
        <v>13</v>
      </c>
      <c r="E2" s="98" t="s">
        <v>115</v>
      </c>
      <c r="F2" s="99" t="b">
        <v>0</v>
      </c>
      <c r="G2" s="3" t="s">
        <v>116</v>
      </c>
    </row>
    <row r="3" spans="1:9" s="2" customFormat="1" ht="21" customHeight="1" x14ac:dyDescent="0.25">
      <c r="A3" s="67"/>
      <c r="B3" s="67"/>
      <c r="C3" s="67"/>
      <c r="D3" s="68"/>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91</v>
      </c>
    </row>
    <row r="2" spans="1:1" x14ac:dyDescent="0.25">
      <c r="A2" t="s">
        <v>92</v>
      </c>
    </row>
    <row r="3" spans="1:1" x14ac:dyDescent="0.25">
      <c r="A3" t="s">
        <v>93</v>
      </c>
    </row>
    <row r="4" spans="1:1" x14ac:dyDescent="0.25">
      <c r="A4" t="s">
        <v>94</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14</v>
      </c>
      <c r="B1" t="s">
        <v>15</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34</v>
      </c>
      <c r="B2" t="s">
        <v>121</v>
      </c>
      <c r="D2" t="s">
        <v>90</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117</v>
      </c>
      <c r="B1" t="s">
        <v>111</v>
      </c>
      <c r="C1" t="s">
        <v>118</v>
      </c>
      <c r="D1" t="s">
        <v>125</v>
      </c>
      <c r="E1" t="s">
        <v>112</v>
      </c>
      <c r="F1" t="s">
        <v>113</v>
      </c>
      <c r="G1" t="s">
        <v>114</v>
      </c>
      <c r="H1" t="s">
        <v>122</v>
      </c>
      <c r="I1" t="s">
        <v>123</v>
      </c>
      <c r="J1" t="s">
        <v>124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95</v>
      </c>
      <c r="C1" s="58" t="s">
        <v>96</v>
      </c>
      <c r="D1" t="s">
        <v>97</v>
      </c>
      <c r="E1" t="s">
        <v>98</v>
      </c>
      <c r="F1" t="s">
        <v>99</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zoomScaleNormal="100" workbookViewId="0">
      <pane xSplit="3" ySplit="2" topLeftCell="F3" activePane="bottomRight" state="frozen"/>
      <selection pane="topRight" activeCell="C1" sqref="C1"/>
      <selection pane="bottomLeft" activeCell="A3" sqref="A3"/>
      <selection pane="bottomRight" activeCell="A2" sqref="A2"/>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5" bestFit="1" customWidth="1"/>
    <col min="27" max="29" width="9.140625" style="25" customWidth="1"/>
    <col min="30" max="33" width="9.140625" style="24" customWidth="1"/>
    <col min="34" max="16384" width="9.140625" style="24"/>
  </cols>
  <sheetData>
    <row r="1" spans="1:26" s="42" customFormat="1" ht="54.75" customHeight="1" x14ac:dyDescent="0.25">
      <c r="A1" s="101" t="s">
        <v>16</v>
      </c>
      <c r="B1" s="101"/>
      <c r="C1" s="102"/>
      <c r="D1" s="101" t="s">
        <v>17</v>
      </c>
      <c r="E1" s="102"/>
      <c r="F1" s="102"/>
      <c r="G1" s="102"/>
      <c r="H1" s="102"/>
      <c r="I1" s="102"/>
      <c r="J1" s="102"/>
      <c r="K1" s="101" t="s">
        <v>18</v>
      </c>
      <c r="L1" s="102"/>
      <c r="M1" s="102"/>
      <c r="N1" s="101" t="s">
        <v>19</v>
      </c>
      <c r="O1" s="102"/>
      <c r="P1" s="4" t="s">
        <v>110</v>
      </c>
      <c r="Q1" s="96" t="e">
        <f>VLOOKUP("ADV", AwardDef[], 4,0)</f>
        <v>#N/A</v>
      </c>
      <c r="R1" s="101" t="s">
        <v>20</v>
      </c>
      <c r="S1" s="102"/>
      <c r="T1" s="102"/>
      <c r="U1" s="102"/>
      <c r="V1" s="102"/>
      <c r="W1" s="97"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4"/>
    </row>
    <row r="2" spans="1:26" s="9" customFormat="1" ht="118.5" customHeight="1" x14ac:dyDescent="0.25">
      <c r="A2" s="46" t="s">
        <v>119</v>
      </c>
      <c r="B2" s="46" t="s">
        <v>95</v>
      </c>
      <c r="C2" s="46" t="s">
        <v>12</v>
      </c>
      <c r="D2" s="47" t="s">
        <v>22</v>
      </c>
      <c r="E2" s="47" t="s">
        <v>23</v>
      </c>
      <c r="F2" s="47" t="s">
        <v>24</v>
      </c>
      <c r="G2" s="47" t="s">
        <v>25</v>
      </c>
      <c r="H2" s="47" t="s">
        <v>26</v>
      </c>
      <c r="I2" s="47" t="s">
        <v>27</v>
      </c>
      <c r="J2" s="48" t="s">
        <v>28</v>
      </c>
      <c r="K2" s="49" t="s">
        <v>29</v>
      </c>
      <c r="L2" s="50" t="s">
        <v>30</v>
      </c>
      <c r="M2" s="51" t="s">
        <v>31</v>
      </c>
      <c r="N2" s="52" t="s">
        <v>32</v>
      </c>
      <c r="O2" s="53" t="s">
        <v>33</v>
      </c>
      <c r="P2" s="46" t="s">
        <v>34</v>
      </c>
      <c r="Q2" s="46" t="s">
        <v>35</v>
      </c>
      <c r="R2" s="27" t="s">
        <v>36</v>
      </c>
      <c r="S2" s="28" t="s">
        <v>37</v>
      </c>
      <c r="T2" s="29" t="s">
        <v>38</v>
      </c>
      <c r="U2" s="30" t="s">
        <v>39</v>
      </c>
      <c r="V2" s="31" t="s">
        <v>40</v>
      </c>
      <c r="W2" s="32" t="s">
        <v>21</v>
      </c>
      <c r="Z2" s="43"/>
    </row>
    <row r="3" spans="1:26" ht="21" customHeight="1" x14ac:dyDescent="0.25">
      <c r="A3" s="67">
        <v>1</v>
      </c>
      <c r="B3" s="67" t="e">
        <f>INDEX(OfficialTeamList[Pod Number],MATCH(TournamentData[[#This Row],[Team '#]], OfficialTeamList[Team '#],0))</f>
        <v>#N/A</v>
      </c>
      <c r="C3" s="94" t="e">
        <f>INDEX(OfficialTeamList[Team Name],MATCH(TournamentData[[#This Row],[Team '#]], OfficialTeamList[Team '#],0))</f>
        <v>#N/A</v>
      </c>
      <c r="D3" s="72">
        <f>IF(TournamentData[[#This Row],[Team '#]]="","",IF(ISNA(INDEX('Robot Game Scores'!C:C,MATCH(TournamentData[[#This Row],[Team '#]], 'Robot Game Scores'!$A:$A,0))),0,INDEX('Robot Game Scores'!C:C,MATCH(TournamentData[[#This Row],[Team '#]], 'Robot Game Scores'!$A:$A,0))))</f>
        <v>0</v>
      </c>
      <c r="E3" s="72">
        <f>IF(TournamentData[[#This Row],[Team '#]]="","",IF(ISNA(INDEX('Robot Game Scores'!D:D,MATCH(TournamentData[[#This Row],[Team '#]], 'Robot Game Scores'!$A:$A,0))),0,INDEX('Robot Game Scores'!D:D,MATCH(TournamentData[[#This Row],[Team '#]], 'Robot Game Scores'!$A:$A,0))))</f>
        <v>0</v>
      </c>
      <c r="F3" s="72">
        <f>IF(TournamentData[[#This Row],[Team '#]]="","",IF(ISNA(INDEX('Robot Game Scores'!E:E,MATCH(TournamentData[[#This Row],[Team '#]], 'Robot Game Scores'!$A:$A,0))),0,INDEX('Robot Game Scores'!E:E,MATCH(TournamentData[[#This Row],[Team '#]], 'Robot Game Scores'!$A:$A,0))))</f>
        <v>0</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2">
        <f>_xlfn.RANK.EQ(TournamentData[[#This Row],[Max Robot Game Score]],TournamentData[Max Robot Game Score])</f>
        <v>1</v>
      </c>
      <c r="K3" s="72" t="e">
        <f>INDEX(CoreValuesResults[Core Values Rank],MATCH(TournamentData[[#This Row],[Team '#]],CoreValuesResults[Team '#],0))</f>
        <v>#N/A</v>
      </c>
      <c r="L3" s="72" t="e">
        <f>INDEX(InnovationProjectResults[Innovation Project Rank],MATCH(TournamentData[[#This Row],[Team '#]],InnovationProjectResults[Team '#],0))</f>
        <v>#N/A</v>
      </c>
      <c r="M3" s="72" t="e">
        <f>INDEX(RobotDesignResults[Robot Design Rank],MATCH(TournamentData[[#This Row],[Team '#]],RobotDesignResults[Team '#],0))</f>
        <v>#N/A</v>
      </c>
      <c r="N3" s="72" t="e">
        <f>SUM(TournamentData[[#This Row],[Robot Game Rank]:[Robot Design Rank]])</f>
        <v>#N/A</v>
      </c>
      <c r="O3" s="71" t="e">
        <f>RANK(TournamentData[[#This Row],[Champion''s Score]],TournamentData[Champion''s Score],1)</f>
        <v>#N/A</v>
      </c>
      <c r="P3" s="73"/>
      <c r="Q3" s="77"/>
      <c r="R3" s="74">
        <f>IF(ISNA(INDEX(CoreValuesResults[Core Values Score],MATCH(TournamentData[[#This Row],[Team '#]],CoreValuesResults[Team '#],0))),0,INDEX(CoreValuesResults[Core Values Score],MATCH(TournamentData[[#This Row],[Team '#]],CoreValuesResults[Team '#],0)))</f>
        <v>0</v>
      </c>
      <c r="S3" s="74">
        <f>IF(ISNA(INDEX(InnovationProjectResults[Innovation Project Score],MATCH(TournamentData[[#This Row],[Team '#]],InnovationProjectResults[Team '#],0))),0,INDEX(InnovationProjectResults[Innovation Project Score],MATCH(TournamentData[[#This Row],[Team '#]],InnovationProjectResults[Team '#],0)))</f>
        <v>0</v>
      </c>
      <c r="T3" s="74">
        <f>IF(ISNA(INDEX(RobotDesignResults[Robot Design Score],MATCH(TournamentData[[#This Row],[Team '#]],RobotDesignResults[Team '#],0))),0,INDEX(RobotDesignResults[Robot Design Score],MATCH(TournamentData[[#This Row],[Team '#]],RobotDesignResults[Team '#],0)))</f>
        <v>0</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3" t="e">
        <f>IF(U3,_xlfn.RANK.EQ(U3,U$3:U$3,0),NumberOfTeams)</f>
        <v>#NAME?</v>
      </c>
      <c r="W3" s="73"/>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3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7" customWidth="1"/>
    <col min="2" max="2" width="32.7109375" style="37" customWidth="1"/>
    <col min="3" max="5" width="7.42578125" style="37" customWidth="1"/>
    <col min="6" max="6" width="10.42578125" style="41" customWidth="1"/>
    <col min="7" max="10" width="8.85546875" style="5" customWidth="1"/>
    <col min="11" max="16384" width="8.85546875" style="5"/>
  </cols>
  <sheetData>
    <row r="1" spans="1:6" s="39" customFormat="1" ht="150" customHeight="1" x14ac:dyDescent="0.25">
      <c r="A1" s="56" t="s">
        <v>119</v>
      </c>
      <c r="B1" s="56" t="s">
        <v>12</v>
      </c>
      <c r="C1" s="63" t="s">
        <v>41</v>
      </c>
      <c r="D1" s="63" t="s">
        <v>42</v>
      </c>
      <c r="E1" s="63" t="s">
        <v>43</v>
      </c>
      <c r="F1" s="57" t="s">
        <v>44</v>
      </c>
    </row>
    <row r="2" spans="1:6" ht="21" customHeight="1" x14ac:dyDescent="0.25">
      <c r="A2" s="67"/>
      <c r="B2" s="95" t="e">
        <f>INDEX(OfficialTeamList[Team Name],MATCH(RobotGameScores[[#This Row],[Team '#]], OfficialTeamList[Team '#],0))</f>
        <v>#N/A</v>
      </c>
      <c r="C2" s="68"/>
      <c r="D2" s="68"/>
      <c r="E2" s="68"/>
      <c r="F2" s="76">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8" customWidth="1"/>
  </cols>
  <sheetData>
    <row r="1" spans="1:15" ht="150" customHeight="1" x14ac:dyDescent="0.25">
      <c r="A1" s="54" t="s">
        <v>119</v>
      </c>
      <c r="B1" s="54" t="s">
        <v>95</v>
      </c>
      <c r="C1" s="55" t="s">
        <v>12</v>
      </c>
      <c r="D1" s="62" t="s">
        <v>45</v>
      </c>
      <c r="E1" s="62" t="s">
        <v>46</v>
      </c>
      <c r="F1" s="62" t="s">
        <v>47</v>
      </c>
      <c r="G1" s="62" t="s">
        <v>48</v>
      </c>
      <c r="H1" s="62" t="s">
        <v>49</v>
      </c>
      <c r="I1" s="62" t="s">
        <v>50</v>
      </c>
      <c r="J1" s="62" t="s">
        <v>51</v>
      </c>
      <c r="K1" s="62" t="s">
        <v>52</v>
      </c>
      <c r="L1" s="62" t="s">
        <v>53</v>
      </c>
      <c r="M1" s="62" t="s">
        <v>54</v>
      </c>
      <c r="N1" s="92" t="s">
        <v>55</v>
      </c>
      <c r="O1" s="93" t="s">
        <v>30</v>
      </c>
    </row>
    <row r="2" spans="1:15" ht="21" customHeight="1" x14ac:dyDescent="0.25">
      <c r="A2" s="67"/>
      <c r="B2" s="67" t="e">
        <f>INDEX(OfficialTeamList[Pod Number],MATCH(InnovationProjectResults[[#This Row],[Team '#]], OfficialTeamList[Team '#],0))</f>
        <v>#N/A</v>
      </c>
      <c r="C2" s="95" t="e">
        <f>INDEX(OfficialTeamList[Team Name],MATCH(InnovationProjectResults[[#This Row],[Team '#]], OfficialTeamList[Team '#],0))</f>
        <v>#N/A</v>
      </c>
      <c r="D2" s="68"/>
      <c r="E2" s="68"/>
      <c r="F2" s="68"/>
      <c r="G2" s="68"/>
      <c r="H2" s="68"/>
      <c r="I2" s="68"/>
      <c r="J2" s="68"/>
      <c r="K2" s="68"/>
      <c r="L2" s="68"/>
      <c r="M2" s="68"/>
      <c r="N2" s="76">
        <f>SUM(InnovationProjectResults[[#This Row],[Identify - Define]:[Communicate - Fun (CV)]])</f>
        <v>0</v>
      </c>
      <c r="O2" s="69">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8" customWidth="1"/>
  </cols>
  <sheetData>
    <row r="1" spans="1:15" ht="150" customHeight="1" x14ac:dyDescent="0.25">
      <c r="A1" s="54" t="s">
        <v>119</v>
      </c>
      <c r="B1" s="54" t="s">
        <v>95</v>
      </c>
      <c r="C1" s="55" t="s">
        <v>12</v>
      </c>
      <c r="D1" s="61" t="s">
        <v>56</v>
      </c>
      <c r="E1" s="61" t="s">
        <v>46</v>
      </c>
      <c r="F1" s="61" t="s">
        <v>57</v>
      </c>
      <c r="G1" s="61" t="s">
        <v>58</v>
      </c>
      <c r="H1" s="61" t="s">
        <v>59</v>
      </c>
      <c r="I1" s="61" t="s">
        <v>60</v>
      </c>
      <c r="J1" s="61" t="s">
        <v>61</v>
      </c>
      <c r="K1" s="61" t="s">
        <v>62</v>
      </c>
      <c r="L1" s="61" t="s">
        <v>53</v>
      </c>
      <c r="M1" s="61" t="s">
        <v>54</v>
      </c>
      <c r="N1" s="59" t="s">
        <v>38</v>
      </c>
      <c r="O1" s="60" t="s">
        <v>31</v>
      </c>
    </row>
    <row r="2" spans="1:15" ht="21" customHeight="1" x14ac:dyDescent="0.25">
      <c r="A2" s="67"/>
      <c r="B2" s="67" t="e">
        <f>INDEX(OfficialTeamList[Pod Number],MATCH(RobotDesignResults[[#This Row],[Team '#]], OfficialTeamList[Team '#],0))</f>
        <v>#N/A</v>
      </c>
      <c r="C2" s="95" t="e">
        <f>INDEX(OfficialTeamList[Team Name],MATCH(RobotDesignResults[[#This Row],[Team '#]], OfficialTeamList[Team '#],0))</f>
        <v>#N/A</v>
      </c>
      <c r="D2" s="68"/>
      <c r="E2" s="68"/>
      <c r="F2" s="68"/>
      <c r="G2" s="68"/>
      <c r="H2" s="68"/>
      <c r="I2" s="68"/>
      <c r="J2" s="68"/>
      <c r="K2" s="68"/>
      <c r="L2" s="68"/>
      <c r="M2" s="68"/>
      <c r="N2" s="76">
        <f>SUM(RobotDesignResults[[#This Row],[Identify - Strategy]:[Communicate - Fun (CV)]])</f>
        <v>0</v>
      </c>
      <c r="O2" s="69">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0" customWidth="1"/>
    <col min="5" max="6" width="5.85546875" style="40" customWidth="1"/>
    <col min="7" max="7" width="6.28515625" style="40" customWidth="1"/>
    <col min="8" max="13" width="5.85546875" style="40" customWidth="1"/>
    <col min="14" max="14" width="8.28515625" bestFit="1" customWidth="1"/>
    <col min="15" max="18" width="7.42578125" customWidth="1"/>
    <col min="19" max="19" width="10.42578125" customWidth="1"/>
    <col min="20" max="20" width="15.42578125" customWidth="1"/>
  </cols>
  <sheetData>
    <row r="1" spans="1:20" ht="150" customHeight="1" x14ac:dyDescent="0.25">
      <c r="A1" s="54" t="s">
        <v>119</v>
      </c>
      <c r="B1" s="54" t="s">
        <v>95</v>
      </c>
      <c r="C1" s="55" t="s">
        <v>12</v>
      </c>
      <c r="D1" s="64" t="s">
        <v>63</v>
      </c>
      <c r="E1" s="64" t="s">
        <v>64</v>
      </c>
      <c r="F1" s="64" t="s">
        <v>65</v>
      </c>
      <c r="G1" s="64" t="s">
        <v>66</v>
      </c>
      <c r="H1" s="64" t="s">
        <v>67</v>
      </c>
      <c r="I1" s="64" t="s">
        <v>68</v>
      </c>
      <c r="J1" s="64" t="s">
        <v>69</v>
      </c>
      <c r="K1" s="64" t="s">
        <v>70</v>
      </c>
      <c r="L1" s="64" t="s">
        <v>71</v>
      </c>
      <c r="M1" s="64" t="s">
        <v>72</v>
      </c>
      <c r="N1" s="65" t="s">
        <v>73</v>
      </c>
      <c r="O1" s="65" t="s">
        <v>74</v>
      </c>
      <c r="P1" s="65" t="s">
        <v>75</v>
      </c>
      <c r="Q1" s="65" t="s">
        <v>76</v>
      </c>
      <c r="R1" s="66" t="s">
        <v>77</v>
      </c>
      <c r="S1" s="66" t="s">
        <v>36</v>
      </c>
      <c r="T1" s="66" t="s">
        <v>29</v>
      </c>
    </row>
    <row r="2" spans="1:20" ht="21" customHeight="1" x14ac:dyDescent="0.25">
      <c r="A2" s="67"/>
      <c r="B2" s="67" t="e">
        <f>INDEX(OfficialTeamList[Pod Number],MATCH(CoreValuesResults[[#This Row],[Team '#]], OfficialTeamList[Team '#],0))</f>
        <v>#N/A</v>
      </c>
      <c r="C2" s="95" t="e">
        <f>INDEX(OfficialTeamList[Team Name],MATCH(CoreValuesResults[[#This Row],[Team '#]], OfficialTeamList[Team '#],0))</f>
        <v>#N/A</v>
      </c>
      <c r="D2" s="70" t="e">
        <f>INDEX(InnovationProjectResults[Identify - Research (CV)],MATCH(CoreValuesResults[[#This Row],[Team '#]],InnovationProjectResults[Team '#],0))</f>
        <v>#N/A</v>
      </c>
      <c r="E2" s="70" t="e">
        <f>INDEX(InnovationProjectResults[Design - Teamwork (CV)],MATCH(CoreValuesResults[[#This Row],[Team '#]],InnovationProjectResults[Team '#],0))</f>
        <v>#N/A</v>
      </c>
      <c r="F2" s="70" t="e">
        <f>INDEX(InnovationProjectResults[Create - Innovation (CV)],MATCH(CoreValuesResults[[#This Row],[Team '#]],InnovationProjectResults[Team '#],0))</f>
        <v>#N/A</v>
      </c>
      <c r="G2" s="70" t="e">
        <f>INDEX(InnovationProjectResults[Communicate - Impact (CV)],MATCH(CoreValuesResults[[#This Row],[Team '#]],InnovationProjectResults[Team '#],0))</f>
        <v>#N/A</v>
      </c>
      <c r="H2" s="70" t="e">
        <f>INDEX(InnovationProjectResults[Communicate - Fun (CV)],MATCH(CoreValuesResults[[#This Row],[Team '#]],InnovationProjectResults[Team '#],0))</f>
        <v>#N/A</v>
      </c>
      <c r="I2" s="70" t="e">
        <f>INDEX(RobotDesignResults[Identify - Research (CV)],MATCH(CoreValuesResults[[#This Row],[Team '#]],RobotDesignResults[Team '#],0))</f>
        <v>#N/A</v>
      </c>
      <c r="J2" s="70" t="e">
        <f>INDEX(RobotDesignResults[Design - Ideas (CV)],MATCH(CoreValuesResults[[#This Row],[Team '#]],RobotDesignResults[Team '#],0))</f>
        <v>#N/A</v>
      </c>
      <c r="K2" s="70" t="e">
        <f>INDEX(RobotDesignResults[Iterate - Improvements (CV)],MATCH(CoreValuesResults[[#This Row],[Team '#]],RobotDesignResults[Team '#],0))</f>
        <v>#N/A</v>
      </c>
      <c r="L2" s="70" t="e">
        <f>INDEX(RobotDesignResults[Communicate - Impact (CV)],MATCH(CoreValuesResults[[#This Row],[Team '#]],RobotDesignResults[Team '#],0))</f>
        <v>#N/A</v>
      </c>
      <c r="M2" s="70" t="e">
        <f>INDEX(RobotDesignResults[Communicate - Fun (CV)],MATCH(CoreValuesResults[[#This Row],[Team '#]],RobotDesignResults[Team '#],0))</f>
        <v>#N/A</v>
      </c>
      <c r="N2" s="77"/>
      <c r="O2" s="77"/>
      <c r="P2" s="77"/>
      <c r="Q2" s="67">
        <f>SUM(CoreValuesResults[[#This Row],[Gracious Professionalism 1]:[Gracious Professionalism 3]])</f>
        <v>0</v>
      </c>
      <c r="R2" s="67">
        <f t="shared" ref="R2" si="0">SUM(N2:Q2)</f>
        <v>0</v>
      </c>
      <c r="S2" s="76" t="e">
        <f>SUM(CoreValuesResults[[#This Row],[Identify - Research (CV-IP)]:[Communicate - Fun (CV-RD)]],CoreValuesResults[[#This Row],[Gracious Professionalism Score]])</f>
        <v>#N/A</v>
      </c>
      <c r="T2" s="69"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78</v>
      </c>
      <c r="B1" s="26" t="s">
        <v>79</v>
      </c>
      <c r="C1" s="26" t="s">
        <v>80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81</v>
      </c>
      <c r="G2" s="5" t="s">
        <v>82</v>
      </c>
    </row>
    <row r="3" spans="2:10" ht="39.950000000000003" customHeight="1" x14ac:dyDescent="0.25">
      <c r="B3" s="10" t="s">
        <v>11</v>
      </c>
      <c r="C3" s="10" t="s">
        <v>12</v>
      </c>
      <c r="D3" s="11" t="s">
        <v>33</v>
      </c>
      <c r="E3" s="11" t="s">
        <v>83</v>
      </c>
      <c r="G3" s="20" t="s">
        <v>11</v>
      </c>
      <c r="H3" s="20" t="s">
        <v>12</v>
      </c>
      <c r="I3" s="21" t="s">
        <v>33</v>
      </c>
      <c r="J3" s="21" t="s">
        <v>83</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84</v>
      </c>
      <c r="G20" s="5" t="s">
        <v>85</v>
      </c>
      <c r="L20" s="5" t="s">
        <v>86</v>
      </c>
    </row>
    <row r="21" spans="2:15" ht="39.950000000000003" customHeight="1" x14ac:dyDescent="0.25">
      <c r="B21" s="14" t="s">
        <v>11</v>
      </c>
      <c r="C21" s="14" t="s">
        <v>12</v>
      </c>
      <c r="D21" s="15" t="s">
        <v>29</v>
      </c>
      <c r="E21" s="15" t="s">
        <v>83</v>
      </c>
      <c r="G21" s="18" t="s">
        <v>11</v>
      </c>
      <c r="H21" s="18" t="s">
        <v>12</v>
      </c>
      <c r="I21" s="19" t="s">
        <v>31</v>
      </c>
      <c r="J21" s="19" t="s">
        <v>83</v>
      </c>
      <c r="L21" s="16" t="s">
        <v>11</v>
      </c>
      <c r="M21" s="16" t="s">
        <v>12</v>
      </c>
      <c r="N21" s="17" t="s">
        <v>30</v>
      </c>
      <c r="O21" s="17" t="s">
        <v>83</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87</v>
      </c>
      <c r="G38" s="5" t="s">
        <v>88</v>
      </c>
      <c r="L38" s="5" t="s">
        <v>89</v>
      </c>
    </row>
    <row r="39" spans="2:15" ht="39.950000000000003" customHeight="1" x14ac:dyDescent="0.25">
      <c r="B39" s="12" t="s">
        <v>11</v>
      </c>
      <c r="C39" s="12" t="s">
        <v>12</v>
      </c>
      <c r="D39" s="13" t="s">
        <v>33</v>
      </c>
      <c r="E39" s="13" t="s">
        <v>83</v>
      </c>
      <c r="G39" s="12" t="s">
        <v>11</v>
      </c>
      <c r="H39" s="12" t="s">
        <v>12</v>
      </c>
      <c r="I39" s="13" t="s">
        <v>33</v>
      </c>
      <c r="J39" s="13" t="s">
        <v>83</v>
      </c>
      <c r="L39" s="12" t="s">
        <v>11</v>
      </c>
      <c r="M39" s="12" t="s">
        <v>12</v>
      </c>
      <c r="N39" s="13" t="s">
        <v>33</v>
      </c>
      <c r="O39" s="13" t="s">
        <v>83</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ChangeTeamName" label="Change Team Name" image="team" screentip="Change one team name without unlocking the roster" onAction="cbChangeTeamName"/>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2026-10-11T18:11:10Z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